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3ED8716-4AFE-43EE-8BF0-D74FB6DAEC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ilan Annuel 2026" sheetId="1" r:id="rId1"/>
    <sheet name="Janvier" sheetId="2" r:id="rId2"/>
    <sheet name="Fevrier" sheetId="3" r:id="rId3"/>
    <sheet name="Mars" sheetId="4" r:id="rId4"/>
    <sheet name="Avril" sheetId="5" r:id="rId5"/>
    <sheet name="Mai" sheetId="6" r:id="rId6"/>
    <sheet name="Juin" sheetId="7" r:id="rId7"/>
    <sheet name="Juillet" sheetId="8" r:id="rId8"/>
    <sheet name="Aout" sheetId="9" r:id="rId9"/>
    <sheet name="Septembre" sheetId="10" r:id="rId10"/>
    <sheet name="Octobre" sheetId="11" r:id="rId11"/>
    <sheet name="Novembre" sheetId="12" r:id="rId12"/>
    <sheet name="Decembre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7" i="4" l="1"/>
  <c r="H11" i="2"/>
  <c r="H10" i="2"/>
  <c r="H78" i="13"/>
  <c r="F78" i="13"/>
  <c r="J78" i="13" s="1"/>
  <c r="E78" i="13"/>
  <c r="H77" i="13"/>
  <c r="F77" i="13"/>
  <c r="J77" i="13" s="1"/>
  <c r="E77" i="13"/>
  <c r="H76" i="13"/>
  <c r="F76" i="13"/>
  <c r="J76" i="13" s="1"/>
  <c r="E76" i="13"/>
  <c r="H75" i="13"/>
  <c r="F75" i="13"/>
  <c r="J75" i="13" s="1"/>
  <c r="E75" i="13"/>
  <c r="H74" i="13"/>
  <c r="F74" i="13"/>
  <c r="J74" i="13" s="1"/>
  <c r="E74" i="13"/>
  <c r="H73" i="13"/>
  <c r="F73" i="13"/>
  <c r="J73" i="13" s="1"/>
  <c r="E73" i="13"/>
  <c r="H72" i="13"/>
  <c r="F72" i="13"/>
  <c r="J72" i="13" s="1"/>
  <c r="E72" i="13"/>
  <c r="H71" i="13"/>
  <c r="F71" i="13"/>
  <c r="J71" i="13" s="1"/>
  <c r="E71" i="13"/>
  <c r="H70" i="13"/>
  <c r="F70" i="13"/>
  <c r="J70" i="13" s="1"/>
  <c r="E70" i="13"/>
  <c r="H69" i="13"/>
  <c r="F69" i="13"/>
  <c r="J69" i="13" s="1"/>
  <c r="E69" i="13"/>
  <c r="H68" i="13"/>
  <c r="F68" i="13"/>
  <c r="J68" i="13" s="1"/>
  <c r="E68" i="13"/>
  <c r="H67" i="13"/>
  <c r="F67" i="13"/>
  <c r="J67" i="13" s="1"/>
  <c r="E67" i="13"/>
  <c r="H66" i="13"/>
  <c r="F66" i="13"/>
  <c r="J66" i="13" s="1"/>
  <c r="E66" i="13"/>
  <c r="G62" i="13"/>
  <c r="G87" i="13" s="1"/>
  <c r="I61" i="13"/>
  <c r="H61" i="13"/>
  <c r="I60" i="13"/>
  <c r="H60" i="13"/>
  <c r="I59" i="13"/>
  <c r="H59" i="13"/>
  <c r="I58" i="13"/>
  <c r="H58" i="13"/>
  <c r="I57" i="13"/>
  <c r="H57" i="13"/>
  <c r="I56" i="13"/>
  <c r="H56" i="13"/>
  <c r="I55" i="13"/>
  <c r="H55" i="13"/>
  <c r="I54" i="13"/>
  <c r="H54" i="13"/>
  <c r="I53" i="13"/>
  <c r="H53" i="13"/>
  <c r="I52" i="13"/>
  <c r="H52" i="13"/>
  <c r="I51" i="13"/>
  <c r="H51" i="13"/>
  <c r="I50" i="13"/>
  <c r="H50" i="13"/>
  <c r="I49" i="13"/>
  <c r="H49" i="13"/>
  <c r="I48" i="13"/>
  <c r="H48" i="13"/>
  <c r="I47" i="13"/>
  <c r="H47" i="13"/>
  <c r="I46" i="13"/>
  <c r="H46" i="13"/>
  <c r="I45" i="13"/>
  <c r="H45" i="13"/>
  <c r="I44" i="13"/>
  <c r="I62" i="13" s="1"/>
  <c r="H44" i="13"/>
  <c r="H62" i="13" s="1"/>
  <c r="H39" i="13"/>
  <c r="F39" i="13"/>
  <c r="J39" i="13" s="1"/>
  <c r="E39" i="13"/>
  <c r="J38" i="13"/>
  <c r="H38" i="13"/>
  <c r="F38" i="13"/>
  <c r="E38" i="13"/>
  <c r="H37" i="13"/>
  <c r="F37" i="13"/>
  <c r="J37" i="13" s="1"/>
  <c r="E37" i="13"/>
  <c r="H36" i="13"/>
  <c r="F36" i="13"/>
  <c r="J36" i="13" s="1"/>
  <c r="E36" i="13"/>
  <c r="J35" i="13"/>
  <c r="H35" i="13"/>
  <c r="F35" i="13"/>
  <c r="E35" i="13"/>
  <c r="H34" i="13"/>
  <c r="F34" i="13"/>
  <c r="J34" i="13" s="1"/>
  <c r="E34" i="13"/>
  <c r="H33" i="13"/>
  <c r="F33" i="13"/>
  <c r="J33" i="13" s="1"/>
  <c r="E33" i="13"/>
  <c r="J32" i="13"/>
  <c r="H32" i="13"/>
  <c r="F32" i="13"/>
  <c r="E32" i="13"/>
  <c r="G28" i="13"/>
  <c r="G91" i="13" s="1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I19" i="13"/>
  <c r="H19" i="13"/>
  <c r="I18" i="13"/>
  <c r="H18" i="13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I28" i="13" s="1"/>
  <c r="H10" i="13"/>
  <c r="H28" i="13" s="1"/>
  <c r="H78" i="12"/>
  <c r="F78" i="12"/>
  <c r="J78" i="12" s="1"/>
  <c r="E78" i="12"/>
  <c r="H77" i="12"/>
  <c r="F77" i="12"/>
  <c r="J77" i="12" s="1"/>
  <c r="E77" i="12"/>
  <c r="H76" i="12"/>
  <c r="F76" i="12"/>
  <c r="E76" i="12"/>
  <c r="H75" i="12"/>
  <c r="F75" i="12"/>
  <c r="J75" i="12" s="1"/>
  <c r="E75" i="12"/>
  <c r="H74" i="12"/>
  <c r="F74" i="12"/>
  <c r="J74" i="12" s="1"/>
  <c r="E74" i="12"/>
  <c r="H73" i="12"/>
  <c r="F73" i="12"/>
  <c r="E73" i="12"/>
  <c r="H72" i="12"/>
  <c r="F72" i="12"/>
  <c r="J72" i="12" s="1"/>
  <c r="E72" i="12"/>
  <c r="H71" i="12"/>
  <c r="F71" i="12"/>
  <c r="J71" i="12" s="1"/>
  <c r="E71" i="12"/>
  <c r="H70" i="12"/>
  <c r="F70" i="12"/>
  <c r="E70" i="12"/>
  <c r="H69" i="12"/>
  <c r="F69" i="12"/>
  <c r="J69" i="12" s="1"/>
  <c r="E69" i="12"/>
  <c r="H68" i="12"/>
  <c r="F68" i="12"/>
  <c r="J68" i="12" s="1"/>
  <c r="E68" i="12"/>
  <c r="H67" i="12"/>
  <c r="F67" i="12"/>
  <c r="E67" i="12"/>
  <c r="H66" i="12"/>
  <c r="F66" i="12"/>
  <c r="J66" i="12" s="1"/>
  <c r="E66" i="12"/>
  <c r="I62" i="12"/>
  <c r="G85" i="12" s="1"/>
  <c r="G62" i="12"/>
  <c r="J76" i="12" s="1"/>
  <c r="I61" i="12"/>
  <c r="H61" i="12"/>
  <c r="I60" i="12"/>
  <c r="H60" i="12"/>
  <c r="I59" i="12"/>
  <c r="H59" i="12"/>
  <c r="I58" i="12"/>
  <c r="H58" i="12"/>
  <c r="I57" i="12"/>
  <c r="H57" i="12"/>
  <c r="I56" i="12"/>
  <c r="H56" i="12"/>
  <c r="I55" i="12"/>
  <c r="H55" i="12"/>
  <c r="I54" i="12"/>
  <c r="H54" i="12"/>
  <c r="I53" i="12"/>
  <c r="H53" i="12"/>
  <c r="I52" i="12"/>
  <c r="H52" i="12"/>
  <c r="I51" i="12"/>
  <c r="H51" i="12"/>
  <c r="I50" i="12"/>
  <c r="H50" i="12"/>
  <c r="I49" i="12"/>
  <c r="H49" i="12"/>
  <c r="I48" i="12"/>
  <c r="H48" i="12"/>
  <c r="I47" i="12"/>
  <c r="H47" i="12"/>
  <c r="I46" i="12"/>
  <c r="H46" i="12"/>
  <c r="I45" i="12"/>
  <c r="H45" i="12"/>
  <c r="I44" i="12"/>
  <c r="H44" i="12"/>
  <c r="H62" i="12" s="1"/>
  <c r="J39" i="12"/>
  <c r="H39" i="12"/>
  <c r="F39" i="12"/>
  <c r="E39" i="12"/>
  <c r="H38" i="12"/>
  <c r="F38" i="12"/>
  <c r="J38" i="12" s="1"/>
  <c r="E38" i="12"/>
  <c r="J37" i="12"/>
  <c r="H37" i="12"/>
  <c r="F37" i="12"/>
  <c r="E37" i="12"/>
  <c r="J36" i="12"/>
  <c r="H36" i="12"/>
  <c r="F36" i="12"/>
  <c r="E36" i="12"/>
  <c r="H35" i="12"/>
  <c r="F35" i="12"/>
  <c r="J35" i="12" s="1"/>
  <c r="E35" i="12"/>
  <c r="J34" i="12"/>
  <c r="H34" i="12"/>
  <c r="F34" i="12"/>
  <c r="E34" i="12"/>
  <c r="J33" i="12"/>
  <c r="H33" i="12"/>
  <c r="F33" i="12"/>
  <c r="E33" i="12"/>
  <c r="H32" i="12"/>
  <c r="F32" i="12"/>
  <c r="J32" i="12" s="1"/>
  <c r="E32" i="12"/>
  <c r="G28" i="12"/>
  <c r="G82" i="12" s="1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I28" i="12" s="1"/>
  <c r="H15" i="12"/>
  <c r="I14" i="12"/>
  <c r="H14" i="12"/>
  <c r="I13" i="12"/>
  <c r="H13" i="12"/>
  <c r="I12" i="12"/>
  <c r="H12" i="12"/>
  <c r="I11" i="12"/>
  <c r="H11" i="12"/>
  <c r="H28" i="12" s="1"/>
  <c r="I10" i="12"/>
  <c r="H10" i="12"/>
  <c r="G91" i="11"/>
  <c r="G84" i="11"/>
  <c r="G82" i="11"/>
  <c r="H78" i="11"/>
  <c r="F78" i="11"/>
  <c r="J78" i="11" s="1"/>
  <c r="E78" i="11"/>
  <c r="H77" i="11"/>
  <c r="F77" i="11"/>
  <c r="E77" i="11"/>
  <c r="H76" i="11"/>
  <c r="F76" i="11"/>
  <c r="J76" i="11" s="1"/>
  <c r="E76" i="11"/>
  <c r="H75" i="11"/>
  <c r="F75" i="11"/>
  <c r="J75" i="11" s="1"/>
  <c r="E75" i="11"/>
  <c r="H74" i="11"/>
  <c r="F74" i="11"/>
  <c r="E74" i="11"/>
  <c r="H73" i="11"/>
  <c r="F73" i="11"/>
  <c r="J73" i="11" s="1"/>
  <c r="E73" i="11"/>
  <c r="H72" i="11"/>
  <c r="F72" i="11"/>
  <c r="J72" i="11" s="1"/>
  <c r="E72" i="11"/>
  <c r="H71" i="11"/>
  <c r="F71" i="11"/>
  <c r="J71" i="11" s="1"/>
  <c r="E71" i="11"/>
  <c r="H70" i="11"/>
  <c r="F70" i="11"/>
  <c r="J70" i="11" s="1"/>
  <c r="E70" i="11"/>
  <c r="H69" i="11"/>
  <c r="F69" i="11"/>
  <c r="J69" i="11" s="1"/>
  <c r="E69" i="11"/>
  <c r="H68" i="11"/>
  <c r="F68" i="11"/>
  <c r="J68" i="11" s="1"/>
  <c r="E68" i="11"/>
  <c r="H67" i="11"/>
  <c r="F67" i="11"/>
  <c r="J67" i="11" s="1"/>
  <c r="E67" i="11"/>
  <c r="H66" i="11"/>
  <c r="F66" i="11"/>
  <c r="J66" i="11" s="1"/>
  <c r="E66" i="11"/>
  <c r="G62" i="11"/>
  <c r="J77" i="11" s="1"/>
  <c r="I61" i="11"/>
  <c r="H61" i="11"/>
  <c r="I60" i="11"/>
  <c r="H60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H49" i="11"/>
  <c r="I48" i="11"/>
  <c r="H48" i="11"/>
  <c r="I47" i="11"/>
  <c r="H47" i="11"/>
  <c r="I46" i="11"/>
  <c r="H46" i="11"/>
  <c r="H62" i="11" s="1"/>
  <c r="I45" i="11"/>
  <c r="H45" i="11"/>
  <c r="I44" i="11"/>
  <c r="I62" i="11" s="1"/>
  <c r="H44" i="11"/>
  <c r="H39" i="11"/>
  <c r="F39" i="11"/>
  <c r="J39" i="11" s="1"/>
  <c r="E39" i="11"/>
  <c r="H38" i="11"/>
  <c r="F38" i="11"/>
  <c r="J38" i="11" s="1"/>
  <c r="E38" i="11"/>
  <c r="J37" i="11"/>
  <c r="H37" i="11"/>
  <c r="F37" i="11"/>
  <c r="E37" i="11"/>
  <c r="H36" i="11"/>
  <c r="F36" i="11"/>
  <c r="J36" i="11" s="1"/>
  <c r="E36" i="11"/>
  <c r="H35" i="11"/>
  <c r="F35" i="11"/>
  <c r="J35" i="11" s="1"/>
  <c r="E35" i="11"/>
  <c r="J34" i="11"/>
  <c r="H34" i="11"/>
  <c r="F34" i="11"/>
  <c r="E34" i="11"/>
  <c r="H33" i="11"/>
  <c r="F33" i="11"/>
  <c r="J33" i="11" s="1"/>
  <c r="E33" i="11"/>
  <c r="H32" i="11"/>
  <c r="F32" i="11"/>
  <c r="J32" i="11" s="1"/>
  <c r="E32" i="11"/>
  <c r="I28" i="11"/>
  <c r="G90" i="11" s="1"/>
  <c r="G28" i="11"/>
  <c r="G89" i="11" s="1"/>
  <c r="A92" i="11" s="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H28" i="11" s="1"/>
  <c r="G84" i="10"/>
  <c r="H78" i="10"/>
  <c r="F78" i="10"/>
  <c r="J78" i="10" s="1"/>
  <c r="E78" i="10"/>
  <c r="H77" i="10"/>
  <c r="F77" i="10"/>
  <c r="J77" i="10" s="1"/>
  <c r="E77" i="10"/>
  <c r="H76" i="10"/>
  <c r="F76" i="10"/>
  <c r="J76" i="10" s="1"/>
  <c r="E76" i="10"/>
  <c r="H75" i="10"/>
  <c r="F75" i="10"/>
  <c r="J75" i="10" s="1"/>
  <c r="E75" i="10"/>
  <c r="H74" i="10"/>
  <c r="F74" i="10"/>
  <c r="J74" i="10" s="1"/>
  <c r="E74" i="10"/>
  <c r="H73" i="10"/>
  <c r="F73" i="10"/>
  <c r="J73" i="10" s="1"/>
  <c r="E73" i="10"/>
  <c r="H72" i="10"/>
  <c r="F72" i="10"/>
  <c r="J72" i="10" s="1"/>
  <c r="E72" i="10"/>
  <c r="H71" i="10"/>
  <c r="F71" i="10"/>
  <c r="J71" i="10" s="1"/>
  <c r="E71" i="10"/>
  <c r="H70" i="10"/>
  <c r="F70" i="10"/>
  <c r="J70" i="10" s="1"/>
  <c r="E70" i="10"/>
  <c r="H69" i="10"/>
  <c r="F69" i="10"/>
  <c r="J69" i="10" s="1"/>
  <c r="E69" i="10"/>
  <c r="H68" i="10"/>
  <c r="F68" i="10"/>
  <c r="J68" i="10" s="1"/>
  <c r="E68" i="10"/>
  <c r="H67" i="10"/>
  <c r="F67" i="10"/>
  <c r="J67" i="10" s="1"/>
  <c r="E67" i="10"/>
  <c r="H66" i="10"/>
  <c r="F66" i="10"/>
  <c r="J66" i="10" s="1"/>
  <c r="E66" i="10"/>
  <c r="G62" i="10"/>
  <c r="G87" i="10" s="1"/>
  <c r="I61" i="10"/>
  <c r="H61" i="10"/>
  <c r="I60" i="10"/>
  <c r="H60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H62" i="10" s="1"/>
  <c r="I47" i="10"/>
  <c r="H47" i="10"/>
  <c r="I46" i="10"/>
  <c r="H46" i="10"/>
  <c r="I45" i="10"/>
  <c r="H45" i="10"/>
  <c r="I44" i="10"/>
  <c r="I62" i="10" s="1"/>
  <c r="H44" i="10"/>
  <c r="H39" i="10"/>
  <c r="F39" i="10"/>
  <c r="J39" i="10" s="1"/>
  <c r="E39" i="10"/>
  <c r="H38" i="10"/>
  <c r="F38" i="10"/>
  <c r="J38" i="10" s="1"/>
  <c r="E38" i="10"/>
  <c r="H37" i="10"/>
  <c r="F37" i="10"/>
  <c r="J37" i="10" s="1"/>
  <c r="E37" i="10"/>
  <c r="H36" i="10"/>
  <c r="F36" i="10"/>
  <c r="J36" i="10" s="1"/>
  <c r="E36" i="10"/>
  <c r="H35" i="10"/>
  <c r="F35" i="10"/>
  <c r="J35" i="10" s="1"/>
  <c r="E35" i="10"/>
  <c r="H34" i="10"/>
  <c r="F34" i="10"/>
  <c r="J34" i="10" s="1"/>
  <c r="E34" i="10"/>
  <c r="H33" i="10"/>
  <c r="F33" i="10"/>
  <c r="J33" i="10" s="1"/>
  <c r="E33" i="10"/>
  <c r="H32" i="10"/>
  <c r="F32" i="10"/>
  <c r="J32" i="10" s="1"/>
  <c r="E32" i="10"/>
  <c r="G28" i="10"/>
  <c r="G82" i="10" s="1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I28" i="10" s="1"/>
  <c r="H13" i="10"/>
  <c r="I12" i="10"/>
  <c r="H12" i="10"/>
  <c r="I11" i="10"/>
  <c r="H11" i="10"/>
  <c r="I10" i="10"/>
  <c r="H10" i="10"/>
  <c r="H28" i="10" s="1"/>
  <c r="G84" i="9"/>
  <c r="J78" i="9"/>
  <c r="H78" i="9"/>
  <c r="F78" i="9"/>
  <c r="E78" i="9"/>
  <c r="J77" i="9"/>
  <c r="H77" i="9"/>
  <c r="F77" i="9"/>
  <c r="E77" i="9"/>
  <c r="H76" i="9"/>
  <c r="F76" i="9"/>
  <c r="J76" i="9" s="1"/>
  <c r="E76" i="9"/>
  <c r="J75" i="9"/>
  <c r="H75" i="9"/>
  <c r="F75" i="9"/>
  <c r="E75" i="9"/>
  <c r="J74" i="9"/>
  <c r="H74" i="9"/>
  <c r="F74" i="9"/>
  <c r="E74" i="9"/>
  <c r="H73" i="9"/>
  <c r="F73" i="9"/>
  <c r="J73" i="9" s="1"/>
  <c r="E73" i="9"/>
  <c r="J72" i="9"/>
  <c r="H72" i="9"/>
  <c r="F72" i="9"/>
  <c r="E72" i="9"/>
  <c r="J71" i="9"/>
  <c r="H71" i="9"/>
  <c r="F71" i="9"/>
  <c r="E71" i="9"/>
  <c r="H70" i="9"/>
  <c r="F70" i="9"/>
  <c r="J70" i="9" s="1"/>
  <c r="E70" i="9"/>
  <c r="J69" i="9"/>
  <c r="H69" i="9"/>
  <c r="F69" i="9"/>
  <c r="E69" i="9"/>
  <c r="J68" i="9"/>
  <c r="H68" i="9"/>
  <c r="F68" i="9"/>
  <c r="E68" i="9"/>
  <c r="H67" i="9"/>
  <c r="F67" i="9"/>
  <c r="J67" i="9" s="1"/>
  <c r="E67" i="9"/>
  <c r="J66" i="9"/>
  <c r="H66" i="9"/>
  <c r="F66" i="9"/>
  <c r="E66" i="9"/>
  <c r="H62" i="9"/>
  <c r="G62" i="9"/>
  <c r="G87" i="9" s="1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I62" i="9" s="1"/>
  <c r="H44" i="9"/>
  <c r="H39" i="9"/>
  <c r="F39" i="9"/>
  <c r="J39" i="9" s="1"/>
  <c r="E39" i="9"/>
  <c r="H38" i="9"/>
  <c r="F38" i="9"/>
  <c r="J38" i="9" s="1"/>
  <c r="E38" i="9"/>
  <c r="H37" i="9"/>
  <c r="F37" i="9"/>
  <c r="J37" i="9" s="1"/>
  <c r="E37" i="9"/>
  <c r="H36" i="9"/>
  <c r="F36" i="9"/>
  <c r="J36" i="9" s="1"/>
  <c r="E36" i="9"/>
  <c r="H35" i="9"/>
  <c r="F35" i="9"/>
  <c r="J35" i="9" s="1"/>
  <c r="E35" i="9"/>
  <c r="H34" i="9"/>
  <c r="F34" i="9"/>
  <c r="J34" i="9" s="1"/>
  <c r="E34" i="9"/>
  <c r="H33" i="9"/>
  <c r="F33" i="9"/>
  <c r="J33" i="9" s="1"/>
  <c r="E33" i="9"/>
  <c r="H32" i="9"/>
  <c r="F32" i="9"/>
  <c r="J32" i="9" s="1"/>
  <c r="E32" i="9"/>
  <c r="G28" i="9"/>
  <c r="G88" i="9" s="1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I28" i="9" s="1"/>
  <c r="H10" i="9"/>
  <c r="H28" i="9" s="1"/>
  <c r="G86" i="8"/>
  <c r="G84" i="8"/>
  <c r="G82" i="8"/>
  <c r="J78" i="8"/>
  <c r="H78" i="8"/>
  <c r="F78" i="8"/>
  <c r="E78" i="8"/>
  <c r="H77" i="8"/>
  <c r="F77" i="8"/>
  <c r="J77" i="8" s="1"/>
  <c r="E77" i="8"/>
  <c r="H76" i="8"/>
  <c r="F76" i="8"/>
  <c r="J76" i="8" s="1"/>
  <c r="E76" i="8"/>
  <c r="J75" i="8"/>
  <c r="H75" i="8"/>
  <c r="F75" i="8"/>
  <c r="E75" i="8"/>
  <c r="H74" i="8"/>
  <c r="F74" i="8"/>
  <c r="J74" i="8" s="1"/>
  <c r="E74" i="8"/>
  <c r="H73" i="8"/>
  <c r="F73" i="8"/>
  <c r="J73" i="8" s="1"/>
  <c r="E73" i="8"/>
  <c r="J72" i="8"/>
  <c r="H72" i="8"/>
  <c r="F72" i="8"/>
  <c r="E72" i="8"/>
  <c r="H71" i="8"/>
  <c r="F71" i="8"/>
  <c r="J71" i="8" s="1"/>
  <c r="E71" i="8"/>
  <c r="H70" i="8"/>
  <c r="F70" i="8"/>
  <c r="J70" i="8" s="1"/>
  <c r="E70" i="8"/>
  <c r="J69" i="8"/>
  <c r="H69" i="8"/>
  <c r="F69" i="8"/>
  <c r="E69" i="8"/>
  <c r="H68" i="8"/>
  <c r="F68" i="8"/>
  <c r="J68" i="8" s="1"/>
  <c r="E68" i="8"/>
  <c r="H67" i="8"/>
  <c r="F67" i="8"/>
  <c r="J67" i="8" s="1"/>
  <c r="E67" i="8"/>
  <c r="J66" i="8"/>
  <c r="H66" i="8"/>
  <c r="F66" i="8"/>
  <c r="E66" i="8"/>
  <c r="G62" i="8"/>
  <c r="G87" i="8" s="1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H62" i="8" s="1"/>
  <c r="I46" i="8"/>
  <c r="H46" i="8"/>
  <c r="I45" i="8"/>
  <c r="H45" i="8"/>
  <c r="I44" i="8"/>
  <c r="I62" i="8" s="1"/>
  <c r="H44" i="8"/>
  <c r="J39" i="8"/>
  <c r="H39" i="8"/>
  <c r="F39" i="8"/>
  <c r="E39" i="8"/>
  <c r="J38" i="8"/>
  <c r="H38" i="8"/>
  <c r="F38" i="8"/>
  <c r="E38" i="8"/>
  <c r="H37" i="8"/>
  <c r="F37" i="8"/>
  <c r="J37" i="8" s="1"/>
  <c r="E37" i="8"/>
  <c r="J36" i="8"/>
  <c r="H36" i="8"/>
  <c r="F36" i="8"/>
  <c r="E36" i="8"/>
  <c r="J35" i="8"/>
  <c r="H35" i="8"/>
  <c r="F35" i="8"/>
  <c r="E35" i="8"/>
  <c r="H34" i="8"/>
  <c r="F34" i="8"/>
  <c r="J34" i="8" s="1"/>
  <c r="E34" i="8"/>
  <c r="J33" i="8"/>
  <c r="H33" i="8"/>
  <c r="F33" i="8"/>
  <c r="E33" i="8"/>
  <c r="J32" i="8"/>
  <c r="H32" i="8"/>
  <c r="F32" i="8"/>
  <c r="E32" i="8"/>
  <c r="G28" i="8"/>
  <c r="G91" i="8" s="1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I28" i="8" s="1"/>
  <c r="H10" i="8"/>
  <c r="H28" i="8" s="1"/>
  <c r="G86" i="7"/>
  <c r="H78" i="7"/>
  <c r="F78" i="7"/>
  <c r="J78" i="7" s="1"/>
  <c r="E78" i="7"/>
  <c r="H77" i="7"/>
  <c r="F77" i="7"/>
  <c r="J77" i="7" s="1"/>
  <c r="E77" i="7"/>
  <c r="H76" i="7"/>
  <c r="F76" i="7"/>
  <c r="J76" i="7" s="1"/>
  <c r="E76" i="7"/>
  <c r="H75" i="7"/>
  <c r="F75" i="7"/>
  <c r="J75" i="7" s="1"/>
  <c r="E75" i="7"/>
  <c r="H74" i="7"/>
  <c r="F74" i="7"/>
  <c r="J74" i="7" s="1"/>
  <c r="E74" i="7"/>
  <c r="H73" i="7"/>
  <c r="F73" i="7"/>
  <c r="J73" i="7" s="1"/>
  <c r="E73" i="7"/>
  <c r="H72" i="7"/>
  <c r="F72" i="7"/>
  <c r="J72" i="7" s="1"/>
  <c r="E72" i="7"/>
  <c r="H71" i="7"/>
  <c r="F71" i="7"/>
  <c r="J71" i="7" s="1"/>
  <c r="E71" i="7"/>
  <c r="H70" i="7"/>
  <c r="F70" i="7"/>
  <c r="J70" i="7" s="1"/>
  <c r="E70" i="7"/>
  <c r="H69" i="7"/>
  <c r="F69" i="7"/>
  <c r="J69" i="7" s="1"/>
  <c r="E69" i="7"/>
  <c r="H68" i="7"/>
  <c r="F68" i="7"/>
  <c r="J68" i="7" s="1"/>
  <c r="E68" i="7"/>
  <c r="H67" i="7"/>
  <c r="F67" i="7"/>
  <c r="J67" i="7" s="1"/>
  <c r="E67" i="7"/>
  <c r="H66" i="7"/>
  <c r="F66" i="7"/>
  <c r="J66" i="7" s="1"/>
  <c r="E66" i="7"/>
  <c r="G62" i="7"/>
  <c r="E12" i="1" s="1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I62" i="7" s="1"/>
  <c r="H44" i="7"/>
  <c r="H62" i="7" s="1"/>
  <c r="J39" i="7"/>
  <c r="H39" i="7"/>
  <c r="F39" i="7"/>
  <c r="E39" i="7"/>
  <c r="H38" i="7"/>
  <c r="F38" i="7"/>
  <c r="J38" i="7" s="1"/>
  <c r="E38" i="7"/>
  <c r="H37" i="7"/>
  <c r="F37" i="7"/>
  <c r="J37" i="7" s="1"/>
  <c r="E37" i="7"/>
  <c r="J36" i="7"/>
  <c r="H36" i="7"/>
  <c r="F36" i="7"/>
  <c r="E36" i="7"/>
  <c r="H35" i="7"/>
  <c r="F35" i="7"/>
  <c r="J35" i="7" s="1"/>
  <c r="E35" i="7"/>
  <c r="H34" i="7"/>
  <c r="F34" i="7"/>
  <c r="J34" i="7" s="1"/>
  <c r="E34" i="7"/>
  <c r="J33" i="7"/>
  <c r="H33" i="7"/>
  <c r="F33" i="7"/>
  <c r="E33" i="7"/>
  <c r="H32" i="7"/>
  <c r="F32" i="7"/>
  <c r="J32" i="7" s="1"/>
  <c r="E32" i="7"/>
  <c r="G28" i="7"/>
  <c r="H12" i="1" s="1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I28" i="7" s="1"/>
  <c r="H11" i="7"/>
  <c r="I10" i="7"/>
  <c r="H10" i="7"/>
  <c r="H28" i="7" s="1"/>
  <c r="G91" i="6"/>
  <c r="G86" i="6"/>
  <c r="G84" i="6"/>
  <c r="G82" i="6"/>
  <c r="H78" i="6"/>
  <c r="F78" i="6"/>
  <c r="J78" i="6" s="1"/>
  <c r="E78" i="6"/>
  <c r="H77" i="6"/>
  <c r="F77" i="6"/>
  <c r="J77" i="6" s="1"/>
  <c r="E77" i="6"/>
  <c r="H76" i="6"/>
  <c r="F76" i="6"/>
  <c r="J76" i="6" s="1"/>
  <c r="E76" i="6"/>
  <c r="H75" i="6"/>
  <c r="F75" i="6"/>
  <c r="J75" i="6" s="1"/>
  <c r="E75" i="6"/>
  <c r="H74" i="6"/>
  <c r="F74" i="6"/>
  <c r="J74" i="6" s="1"/>
  <c r="E74" i="6"/>
  <c r="H73" i="6"/>
  <c r="F73" i="6"/>
  <c r="J73" i="6" s="1"/>
  <c r="E73" i="6"/>
  <c r="H72" i="6"/>
  <c r="F72" i="6"/>
  <c r="J72" i="6" s="1"/>
  <c r="E72" i="6"/>
  <c r="H71" i="6"/>
  <c r="F71" i="6"/>
  <c r="J71" i="6" s="1"/>
  <c r="E71" i="6"/>
  <c r="H70" i="6"/>
  <c r="F70" i="6"/>
  <c r="J70" i="6" s="1"/>
  <c r="E70" i="6"/>
  <c r="H69" i="6"/>
  <c r="F69" i="6"/>
  <c r="J69" i="6" s="1"/>
  <c r="E69" i="6"/>
  <c r="H68" i="6"/>
  <c r="F68" i="6"/>
  <c r="J68" i="6" s="1"/>
  <c r="E68" i="6"/>
  <c r="H67" i="6"/>
  <c r="F67" i="6"/>
  <c r="J67" i="6" s="1"/>
  <c r="E67" i="6"/>
  <c r="H66" i="6"/>
  <c r="F66" i="6"/>
  <c r="J66" i="6" s="1"/>
  <c r="E66" i="6"/>
  <c r="G62" i="6"/>
  <c r="G87" i="6" s="1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I62" i="6" s="1"/>
  <c r="H44" i="6"/>
  <c r="H62" i="6" s="1"/>
  <c r="H39" i="6"/>
  <c r="F39" i="6"/>
  <c r="J39" i="6" s="1"/>
  <c r="E39" i="6"/>
  <c r="H38" i="6"/>
  <c r="F38" i="6"/>
  <c r="J38" i="6" s="1"/>
  <c r="E38" i="6"/>
  <c r="H37" i="6"/>
  <c r="F37" i="6"/>
  <c r="J37" i="6" s="1"/>
  <c r="E37" i="6"/>
  <c r="H36" i="6"/>
  <c r="F36" i="6"/>
  <c r="J36" i="6" s="1"/>
  <c r="E36" i="6"/>
  <c r="H35" i="6"/>
  <c r="F35" i="6"/>
  <c r="J35" i="6" s="1"/>
  <c r="E35" i="6"/>
  <c r="H34" i="6"/>
  <c r="F34" i="6"/>
  <c r="J34" i="6" s="1"/>
  <c r="E34" i="6"/>
  <c r="H33" i="6"/>
  <c r="F33" i="6"/>
  <c r="J33" i="6" s="1"/>
  <c r="E33" i="6"/>
  <c r="H32" i="6"/>
  <c r="F32" i="6"/>
  <c r="J32" i="6" s="1"/>
  <c r="E32" i="6"/>
  <c r="G28" i="6"/>
  <c r="G89" i="6" s="1"/>
  <c r="A92" i="6" s="1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I28" i="6" s="1"/>
  <c r="H10" i="6"/>
  <c r="H28" i="6" s="1"/>
  <c r="G86" i="5"/>
  <c r="G84" i="5"/>
  <c r="H78" i="5"/>
  <c r="F78" i="5"/>
  <c r="J78" i="5" s="1"/>
  <c r="E78" i="5"/>
  <c r="H77" i="5"/>
  <c r="F77" i="5"/>
  <c r="E77" i="5"/>
  <c r="H76" i="5"/>
  <c r="F76" i="5"/>
  <c r="E76" i="5"/>
  <c r="H75" i="5"/>
  <c r="F75" i="5"/>
  <c r="J75" i="5" s="1"/>
  <c r="E75" i="5"/>
  <c r="H74" i="5"/>
  <c r="F74" i="5"/>
  <c r="J74" i="5" s="1"/>
  <c r="E74" i="5"/>
  <c r="H73" i="5"/>
  <c r="F73" i="5"/>
  <c r="E73" i="5"/>
  <c r="H72" i="5"/>
  <c r="F72" i="5"/>
  <c r="J72" i="5" s="1"/>
  <c r="E72" i="5"/>
  <c r="H71" i="5"/>
  <c r="F71" i="5"/>
  <c r="J71" i="5" s="1"/>
  <c r="E71" i="5"/>
  <c r="H70" i="5"/>
  <c r="F70" i="5"/>
  <c r="E70" i="5"/>
  <c r="H69" i="5"/>
  <c r="F69" i="5"/>
  <c r="E69" i="5"/>
  <c r="F68" i="5"/>
  <c r="J68" i="5" s="1"/>
  <c r="E68" i="5"/>
  <c r="F67" i="5"/>
  <c r="J67" i="5" s="1"/>
  <c r="E67" i="5"/>
  <c r="H66" i="5"/>
  <c r="F66" i="5"/>
  <c r="E66" i="5"/>
  <c r="G62" i="5"/>
  <c r="G87" i="5" s="1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H49" i="5"/>
  <c r="I49" i="5" s="1"/>
  <c r="H68" i="5" s="1"/>
  <c r="H48" i="5"/>
  <c r="H47" i="5"/>
  <c r="H46" i="5"/>
  <c r="H45" i="5"/>
  <c r="H67" i="5"/>
  <c r="H44" i="5"/>
  <c r="H39" i="5"/>
  <c r="F39" i="5"/>
  <c r="J39" i="5" s="1"/>
  <c r="E39" i="5"/>
  <c r="H38" i="5"/>
  <c r="F38" i="5"/>
  <c r="J38" i="5" s="1"/>
  <c r="E38" i="5"/>
  <c r="H37" i="5"/>
  <c r="F37" i="5"/>
  <c r="J37" i="5" s="1"/>
  <c r="E37" i="5"/>
  <c r="H36" i="5"/>
  <c r="F36" i="5"/>
  <c r="J36" i="5" s="1"/>
  <c r="E36" i="5"/>
  <c r="H35" i="5"/>
  <c r="F35" i="5"/>
  <c r="J35" i="5" s="1"/>
  <c r="E35" i="5"/>
  <c r="H34" i="5"/>
  <c r="F34" i="5"/>
  <c r="J34" i="5" s="1"/>
  <c r="E34" i="5"/>
  <c r="H33" i="5"/>
  <c r="F33" i="5"/>
  <c r="J33" i="5" s="1"/>
  <c r="E33" i="5"/>
  <c r="H32" i="5"/>
  <c r="F32" i="5"/>
  <c r="J32" i="5" s="1"/>
  <c r="E32" i="5"/>
  <c r="G28" i="5"/>
  <c r="I10" i="1" s="1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H28" i="5" s="1"/>
  <c r="I13" i="5"/>
  <c r="H13" i="5"/>
  <c r="I12" i="5"/>
  <c r="H12" i="5"/>
  <c r="I11" i="5"/>
  <c r="H11" i="5"/>
  <c r="I10" i="5"/>
  <c r="I28" i="5" s="1"/>
  <c r="H10" i="5"/>
  <c r="G82" i="4"/>
  <c r="F78" i="4"/>
  <c r="E78" i="4"/>
  <c r="F77" i="4"/>
  <c r="E77" i="4"/>
  <c r="H76" i="4"/>
  <c r="F76" i="4"/>
  <c r="E76" i="4"/>
  <c r="H75" i="4"/>
  <c r="F75" i="4"/>
  <c r="E75" i="4"/>
  <c r="H74" i="4"/>
  <c r="F74" i="4"/>
  <c r="E74" i="4"/>
  <c r="H73" i="4"/>
  <c r="F73" i="4"/>
  <c r="E73" i="4"/>
  <c r="H72" i="4"/>
  <c r="F72" i="4"/>
  <c r="E72" i="4"/>
  <c r="H71" i="4"/>
  <c r="F71" i="4"/>
  <c r="E71" i="4"/>
  <c r="H70" i="4"/>
  <c r="F70" i="4"/>
  <c r="E70" i="4"/>
  <c r="H69" i="4"/>
  <c r="F69" i="4"/>
  <c r="E69" i="4"/>
  <c r="H68" i="4"/>
  <c r="F68" i="4"/>
  <c r="E68" i="4"/>
  <c r="H67" i="4"/>
  <c r="F67" i="4"/>
  <c r="E67" i="4"/>
  <c r="H66" i="4"/>
  <c r="F66" i="4"/>
  <c r="E66" i="4"/>
  <c r="G62" i="4"/>
  <c r="G87" i="4" s="1"/>
  <c r="I61" i="4"/>
  <c r="H61" i="4"/>
  <c r="H60" i="4"/>
  <c r="H59" i="4"/>
  <c r="H58" i="4"/>
  <c r="H57" i="4"/>
  <c r="I57" i="4" s="1"/>
  <c r="H56" i="4"/>
  <c r="I56" i="4" s="1"/>
  <c r="H55" i="4"/>
  <c r="H54" i="4"/>
  <c r="I54" i="4" s="1"/>
  <c r="H53" i="4"/>
  <c r="I52" i="4"/>
  <c r="H52" i="4"/>
  <c r="H51" i="4"/>
  <c r="I51" i="4" s="1"/>
  <c r="H50" i="4"/>
  <c r="H49" i="4"/>
  <c r="H48" i="4"/>
  <c r="H47" i="4"/>
  <c r="H46" i="4"/>
  <c r="H45" i="4"/>
  <c r="I45" i="4" s="1"/>
  <c r="H44" i="4"/>
  <c r="H39" i="4"/>
  <c r="F39" i="4"/>
  <c r="J39" i="4" s="1"/>
  <c r="E39" i="4"/>
  <c r="J38" i="4"/>
  <c r="H38" i="4"/>
  <c r="F38" i="4"/>
  <c r="E38" i="4"/>
  <c r="J37" i="4"/>
  <c r="H37" i="4"/>
  <c r="F37" i="4"/>
  <c r="E37" i="4"/>
  <c r="H36" i="4"/>
  <c r="F36" i="4"/>
  <c r="J36" i="4" s="1"/>
  <c r="E36" i="4"/>
  <c r="J35" i="4"/>
  <c r="H35" i="4"/>
  <c r="F35" i="4"/>
  <c r="E35" i="4"/>
  <c r="J34" i="4"/>
  <c r="H34" i="4"/>
  <c r="F34" i="4"/>
  <c r="E34" i="4"/>
  <c r="H33" i="4"/>
  <c r="F33" i="4"/>
  <c r="J33" i="4" s="1"/>
  <c r="E33" i="4"/>
  <c r="J32" i="4"/>
  <c r="H32" i="4"/>
  <c r="F32" i="4"/>
  <c r="E32" i="4"/>
  <c r="H28" i="4"/>
  <c r="G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I28" i="4" s="1"/>
  <c r="H10" i="4"/>
  <c r="F86" i="3"/>
  <c r="E86" i="3"/>
  <c r="H85" i="3"/>
  <c r="F85" i="3"/>
  <c r="E85" i="3"/>
  <c r="H84" i="3"/>
  <c r="F84" i="3"/>
  <c r="E84" i="3"/>
  <c r="H83" i="3"/>
  <c r="F83" i="3"/>
  <c r="E83" i="3"/>
  <c r="H82" i="3"/>
  <c r="F82" i="3"/>
  <c r="E82" i="3"/>
  <c r="H81" i="3"/>
  <c r="F81" i="3"/>
  <c r="E81" i="3"/>
  <c r="H80" i="3"/>
  <c r="F80" i="3"/>
  <c r="E80" i="3"/>
  <c r="H79" i="3"/>
  <c r="F79" i="3"/>
  <c r="E79" i="3"/>
  <c r="H78" i="3"/>
  <c r="F78" i="3"/>
  <c r="E78" i="3"/>
  <c r="H77" i="3"/>
  <c r="F77" i="3"/>
  <c r="E77" i="3"/>
  <c r="F76" i="3"/>
  <c r="E76" i="3"/>
  <c r="H75" i="3"/>
  <c r="F75" i="3"/>
  <c r="E75" i="3"/>
  <c r="H74" i="3"/>
  <c r="F74" i="3"/>
  <c r="E74" i="3"/>
  <c r="G70" i="3"/>
  <c r="H69" i="3"/>
  <c r="H60" i="3"/>
  <c r="H59" i="3"/>
  <c r="H58" i="3"/>
  <c r="H57" i="3"/>
  <c r="H56" i="3"/>
  <c r="H55" i="3"/>
  <c r="I55" i="3" s="1"/>
  <c r="H54" i="3"/>
  <c r="I54" i="3" s="1"/>
  <c r="H53" i="3"/>
  <c r="H52" i="3"/>
  <c r="H51" i="3"/>
  <c r="H50" i="3"/>
  <c r="I50" i="3" s="1"/>
  <c r="H49" i="3"/>
  <c r="H48" i="3"/>
  <c r="H47" i="3"/>
  <c r="H46" i="3"/>
  <c r="H45" i="3"/>
  <c r="H44" i="3"/>
  <c r="H39" i="3"/>
  <c r="F39" i="3"/>
  <c r="E39" i="3"/>
  <c r="H38" i="3"/>
  <c r="F38" i="3"/>
  <c r="E38" i="3"/>
  <c r="H37" i="3"/>
  <c r="F37" i="3"/>
  <c r="E37" i="3"/>
  <c r="H36" i="3"/>
  <c r="F36" i="3"/>
  <c r="E36" i="3"/>
  <c r="H35" i="3"/>
  <c r="F35" i="3"/>
  <c r="E35" i="3"/>
  <c r="H34" i="3"/>
  <c r="F34" i="3"/>
  <c r="E34" i="3"/>
  <c r="H33" i="3"/>
  <c r="F33" i="3"/>
  <c r="E33" i="3"/>
  <c r="H32" i="3"/>
  <c r="F32" i="3"/>
  <c r="E32" i="3"/>
  <c r="G28" i="3"/>
  <c r="G90" i="3" s="1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H78" i="2"/>
  <c r="F78" i="2"/>
  <c r="J78" i="2" s="1"/>
  <c r="E78" i="2"/>
  <c r="H77" i="2"/>
  <c r="F77" i="2"/>
  <c r="E77" i="2"/>
  <c r="H76" i="2"/>
  <c r="F76" i="2"/>
  <c r="J76" i="2" s="1"/>
  <c r="E76" i="2"/>
  <c r="H75" i="2"/>
  <c r="F75" i="2"/>
  <c r="J75" i="2" s="1"/>
  <c r="E75" i="2"/>
  <c r="H74" i="2"/>
  <c r="F74" i="2"/>
  <c r="J74" i="2" s="1"/>
  <c r="E74" i="2"/>
  <c r="H73" i="2"/>
  <c r="F73" i="2"/>
  <c r="J73" i="2" s="1"/>
  <c r="E73" i="2"/>
  <c r="H72" i="2"/>
  <c r="F72" i="2"/>
  <c r="J72" i="2" s="1"/>
  <c r="E72" i="2"/>
  <c r="H71" i="2"/>
  <c r="F71" i="2"/>
  <c r="J71" i="2" s="1"/>
  <c r="E71" i="2"/>
  <c r="H70" i="2"/>
  <c r="F70" i="2"/>
  <c r="J70" i="2" s="1"/>
  <c r="E70" i="2"/>
  <c r="H69" i="2"/>
  <c r="F69" i="2"/>
  <c r="J69" i="2" s="1"/>
  <c r="E69" i="2"/>
  <c r="F68" i="2"/>
  <c r="J68" i="2" s="1"/>
  <c r="E68" i="2"/>
  <c r="H67" i="2"/>
  <c r="F67" i="2"/>
  <c r="J67" i="2" s="1"/>
  <c r="E67" i="2"/>
  <c r="H66" i="2"/>
  <c r="F66" i="2"/>
  <c r="J66" i="2" s="1"/>
  <c r="E66" i="2"/>
  <c r="G62" i="2"/>
  <c r="E7" i="1" s="1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H52" i="2"/>
  <c r="H51" i="2"/>
  <c r="H50" i="2"/>
  <c r="H49" i="2"/>
  <c r="H48" i="2"/>
  <c r="H47" i="2"/>
  <c r="H46" i="2"/>
  <c r="I45" i="2"/>
  <c r="I62" i="2" s="1"/>
  <c r="H45" i="2"/>
  <c r="H44" i="2"/>
  <c r="H39" i="2"/>
  <c r="F39" i="2"/>
  <c r="J39" i="2" s="1"/>
  <c r="E39" i="2"/>
  <c r="H38" i="2"/>
  <c r="F38" i="2"/>
  <c r="J38" i="2" s="1"/>
  <c r="E38" i="2"/>
  <c r="H37" i="2"/>
  <c r="F37" i="2"/>
  <c r="J37" i="2" s="1"/>
  <c r="E37" i="2"/>
  <c r="H36" i="2"/>
  <c r="F36" i="2"/>
  <c r="J36" i="2" s="1"/>
  <c r="E36" i="2"/>
  <c r="H35" i="2"/>
  <c r="F35" i="2"/>
  <c r="J35" i="2" s="1"/>
  <c r="E35" i="2"/>
  <c r="H34" i="2"/>
  <c r="F34" i="2"/>
  <c r="J34" i="2" s="1"/>
  <c r="E34" i="2"/>
  <c r="H33" i="2"/>
  <c r="F33" i="2"/>
  <c r="J33" i="2" s="1"/>
  <c r="E33" i="2"/>
  <c r="H32" i="2"/>
  <c r="F32" i="2"/>
  <c r="J32" i="2" s="1"/>
  <c r="E32" i="2"/>
  <c r="G28" i="2"/>
  <c r="G86" i="2" s="1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I10" i="2"/>
  <c r="H28" i="2"/>
  <c r="I18" i="1"/>
  <c r="H18" i="1"/>
  <c r="G18" i="1"/>
  <c r="E18" i="1"/>
  <c r="C18" i="1"/>
  <c r="F17" i="1"/>
  <c r="C17" i="1"/>
  <c r="I16" i="1"/>
  <c r="H16" i="1"/>
  <c r="G16" i="1"/>
  <c r="E16" i="1"/>
  <c r="C16" i="1"/>
  <c r="E15" i="1"/>
  <c r="H14" i="1"/>
  <c r="G14" i="1"/>
  <c r="E14" i="1"/>
  <c r="I13" i="1"/>
  <c r="H13" i="1"/>
  <c r="G13" i="1"/>
  <c r="E13" i="1"/>
  <c r="C13" i="1"/>
  <c r="I12" i="1"/>
  <c r="I11" i="1"/>
  <c r="H11" i="1"/>
  <c r="G11" i="1"/>
  <c r="E11" i="1"/>
  <c r="C11" i="1"/>
  <c r="E10" i="1"/>
  <c r="C10" i="1"/>
  <c r="C9" i="1"/>
  <c r="H7" i="1"/>
  <c r="G89" i="5" l="1"/>
  <c r="A92" i="5" s="1"/>
  <c r="J38" i="3"/>
  <c r="J35" i="3"/>
  <c r="J80" i="3"/>
  <c r="J32" i="3"/>
  <c r="J36" i="3"/>
  <c r="J33" i="3"/>
  <c r="J77" i="3"/>
  <c r="J39" i="3"/>
  <c r="C8" i="1"/>
  <c r="J34" i="3"/>
  <c r="G94" i="3"/>
  <c r="J37" i="3"/>
  <c r="J84" i="3"/>
  <c r="J76" i="3"/>
  <c r="H28" i="3"/>
  <c r="J81" i="3"/>
  <c r="I8" i="1"/>
  <c r="I28" i="3"/>
  <c r="D8" i="1" s="1"/>
  <c r="H86" i="3"/>
  <c r="J85" i="3"/>
  <c r="H76" i="3"/>
  <c r="I70" i="3"/>
  <c r="G93" i="3" s="1"/>
  <c r="J86" i="3"/>
  <c r="J74" i="3"/>
  <c r="J78" i="3"/>
  <c r="J82" i="3"/>
  <c r="G99" i="3"/>
  <c r="H70" i="3"/>
  <c r="J75" i="3"/>
  <c r="J79" i="3"/>
  <c r="J83" i="3"/>
  <c r="G92" i="3"/>
  <c r="H68" i="2"/>
  <c r="J77" i="2"/>
  <c r="H62" i="2"/>
  <c r="H77" i="4"/>
  <c r="J69" i="4"/>
  <c r="J73" i="4"/>
  <c r="H62" i="4"/>
  <c r="I62" i="4"/>
  <c r="G85" i="4" s="1"/>
  <c r="H78" i="4"/>
  <c r="J74" i="4"/>
  <c r="J77" i="4"/>
  <c r="J78" i="4"/>
  <c r="E9" i="1"/>
  <c r="G88" i="4"/>
  <c r="J75" i="4"/>
  <c r="G84" i="4"/>
  <c r="G9" i="1"/>
  <c r="G89" i="4"/>
  <c r="A92" i="4" s="1"/>
  <c r="J70" i="4"/>
  <c r="J71" i="4"/>
  <c r="H9" i="1"/>
  <c r="G91" i="4"/>
  <c r="J66" i="4"/>
  <c r="J67" i="4"/>
  <c r="I9" i="1"/>
  <c r="J68" i="4"/>
  <c r="J72" i="4"/>
  <c r="J76" i="4"/>
  <c r="I62" i="5"/>
  <c r="G90" i="5" s="1"/>
  <c r="J76" i="5"/>
  <c r="J69" i="5"/>
  <c r="J77" i="5"/>
  <c r="J73" i="5"/>
  <c r="H62" i="5"/>
  <c r="J66" i="5"/>
  <c r="J70" i="5"/>
  <c r="I28" i="2"/>
  <c r="D13" i="1"/>
  <c r="G90" i="8"/>
  <c r="G83" i="8"/>
  <c r="F15" i="1"/>
  <c r="G85" i="10"/>
  <c r="G85" i="2"/>
  <c r="F7" i="1"/>
  <c r="G90" i="13"/>
  <c r="D18" i="1"/>
  <c r="G83" i="13"/>
  <c r="D12" i="1"/>
  <c r="G83" i="7"/>
  <c r="G90" i="7"/>
  <c r="G83" i="10"/>
  <c r="G90" i="10"/>
  <c r="D15" i="1"/>
  <c r="D7" i="1"/>
  <c r="G83" i="2"/>
  <c r="G90" i="2"/>
  <c r="G83" i="5"/>
  <c r="D10" i="1"/>
  <c r="G83" i="12"/>
  <c r="D17" i="1"/>
  <c r="G90" i="12"/>
  <c r="D11" i="1"/>
  <c r="G90" i="6"/>
  <c r="G83" i="6"/>
  <c r="G85" i="6"/>
  <c r="F11" i="1"/>
  <c r="G85" i="7"/>
  <c r="F12" i="1"/>
  <c r="G85" i="8"/>
  <c r="F13" i="1"/>
  <c r="D14" i="1"/>
  <c r="G90" i="9"/>
  <c r="G83" i="9"/>
  <c r="G85" i="13"/>
  <c r="F18" i="1"/>
  <c r="D9" i="1"/>
  <c r="G83" i="4"/>
  <c r="F14" i="1"/>
  <c r="G85" i="9"/>
  <c r="F16" i="1"/>
  <c r="G85" i="11"/>
  <c r="G87" i="7"/>
  <c r="G89" i="9"/>
  <c r="A92" i="9" s="1"/>
  <c r="G86" i="12"/>
  <c r="G82" i="13"/>
  <c r="G88" i="7"/>
  <c r="C15" i="1"/>
  <c r="G89" i="7"/>
  <c r="A92" i="7" s="1"/>
  <c r="G91" i="9"/>
  <c r="G86" i="10"/>
  <c r="G88" i="12"/>
  <c r="I14" i="1"/>
  <c r="G87" i="12"/>
  <c r="E8" i="1"/>
  <c r="G91" i="2"/>
  <c r="G88" i="5"/>
  <c r="G89" i="12"/>
  <c r="A92" i="12" s="1"/>
  <c r="G84" i="13"/>
  <c r="G96" i="3"/>
  <c r="G82" i="9"/>
  <c r="G89" i="10"/>
  <c r="A92" i="10" s="1"/>
  <c r="G91" i="12"/>
  <c r="G86" i="13"/>
  <c r="E17" i="1"/>
  <c r="G82" i="2"/>
  <c r="G97" i="3"/>
  <c r="A100" i="3" s="1"/>
  <c r="G91" i="5"/>
  <c r="G88" i="8"/>
  <c r="C12" i="1"/>
  <c r="G82" i="7"/>
  <c r="G89" i="8"/>
  <c r="A92" i="8" s="1"/>
  <c r="G91" i="10"/>
  <c r="G86" i="11"/>
  <c r="G88" i="13"/>
  <c r="I7" i="1"/>
  <c r="G88" i="10"/>
  <c r="G83" i="11"/>
  <c r="G17" i="1"/>
  <c r="G84" i="2"/>
  <c r="G86" i="4"/>
  <c r="G88" i="6"/>
  <c r="G87" i="11"/>
  <c r="G89" i="13"/>
  <c r="A92" i="13" s="1"/>
  <c r="G87" i="2"/>
  <c r="G88" i="2"/>
  <c r="G89" i="2"/>
  <c r="A92" i="2" s="1"/>
  <c r="G95" i="3"/>
  <c r="G91" i="7"/>
  <c r="G8" i="1"/>
  <c r="C7" i="1"/>
  <c r="H8" i="1"/>
  <c r="C14" i="1"/>
  <c r="H10" i="1"/>
  <c r="G12" i="1"/>
  <c r="H17" i="1"/>
  <c r="G82" i="5"/>
  <c r="G84" i="7"/>
  <c r="G86" i="9"/>
  <c r="G88" i="11"/>
  <c r="G15" i="1"/>
  <c r="G10" i="1"/>
  <c r="H15" i="1"/>
  <c r="I15" i="1"/>
  <c r="G7" i="1"/>
  <c r="D16" i="1"/>
  <c r="I17" i="1"/>
  <c r="J74" i="11"/>
  <c r="G84" i="12"/>
  <c r="J67" i="12"/>
  <c r="J70" i="12"/>
  <c r="J73" i="12"/>
  <c r="G91" i="3" l="1"/>
  <c r="F8" i="1"/>
  <c r="D19" i="1"/>
  <c r="F24" i="1"/>
  <c r="G98" i="3"/>
  <c r="G19" i="1"/>
  <c r="F29" i="1" s="1"/>
  <c r="E19" i="1"/>
  <c r="F28" i="1" s="1"/>
  <c r="F9" i="1"/>
  <c r="G90" i="4"/>
  <c r="G85" i="5"/>
  <c r="F10" i="1"/>
  <c r="F26" i="1"/>
  <c r="F33" i="1"/>
  <c r="H19" i="1"/>
  <c r="C19" i="1"/>
  <c r="F27" i="1" s="1"/>
  <c r="F23" i="1"/>
  <c r="F25" i="1"/>
  <c r="F32" i="1"/>
  <c r="F19" i="1" l="1"/>
  <c r="F30" i="1"/>
  <c r="I19" i="1"/>
  <c r="F31" i="1" s="1"/>
</calcChain>
</file>

<file path=xl/sharedStrings.xml><?xml version="1.0" encoding="utf-8"?>
<sst xmlns="http://schemas.openxmlformats.org/spreadsheetml/2006/main" count="1227" uniqueCount="229">
  <si>
    <t>RETOUR GAGNANT BENIN  —  BILAN FINANCIER ANNUEL 2026</t>
  </si>
  <si>
    <t>IFU : 3202644573981   |   RCCM : RB/COT/26 B 42001   |   Donnees consolidees depuis les 12 feuilles mensuelles</t>
  </si>
  <si>
    <t>LEGENDE : Texte VERT = donnee liee depuis feuille mois  |  Fond JAUNE = cellule a saisir  |  Texte NOIR = formule</t>
  </si>
  <si>
    <t>MOIS</t>
  </si>
  <si>
    <t>RECETTES HT</t>
  </si>
  <si>
    <t>RECETTES TTC</t>
  </si>
  <si>
    <t>DEPENSES HT</t>
  </si>
  <si>
    <t>DEPENSES TTC</t>
  </si>
  <si>
    <t>TVA NETTE</t>
  </si>
  <si>
    <t>RESULTAT NET HT</t>
  </si>
  <si>
    <t>MARGE %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</si>
  <si>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</si>
  <si>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</si>
  <si>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</si>
  <si>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</si>
  <si>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</si>
  <si>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</si>
  <si>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</si>
  <si>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</si>
  <si>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</si>
  <si>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</si>
  <si>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</si>
  <si>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</si>
  <si>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TOTAL ANNUEL 2026</t>
  </si>
  <si>
    <t>INDICATEURS CLES DE PERFORMANCE (KPI)</t>
  </si>
  <si>
    <t>Meilleur mois — recettes HT</t>
  </si>
  <si>
    <t>Mois le plus charge — depenses HT</t>
  </si>
  <si>
    <t>Recette mensuelle moyenne HT</t>
  </si>
  <si>
    <t>Depense mensuelle moyenne HT</t>
  </si>
  <si>
    <t>TVA totale collectee sur l annee</t>
  </si>
  <si>
    <t>TVA totale deductible</t>
  </si>
  <si>
    <t>TVA nette annuelle a reverser DGI</t>
  </si>
  <si>
    <t>Resultat net annuel HT</t>
  </si>
  <si>
    <t>Taux de marge annuelle</t>
  </si>
  <si>
    <t>Nb mois excedentaires</t>
  </si>
  <si>
    <t>Nb mois deficitaires</t>
  </si>
  <si>
    <t>GUIDE D'UTILISATION</t>
  </si>
  <si>
    <t xml:space="preserve">  Etape 1</t>
  </si>
  <si>
    <t>Aller sur la feuille du mois (Janvier, Fevrier…)</t>
  </si>
  <si>
    <t xml:space="preserve">  Etape 2</t>
  </si>
  <si>
    <t>SECTION 1 (fond vert) : saisir chaque RECETTE — date, N facture, client, categorie, montant HT</t>
  </si>
  <si>
    <t xml:space="preserve">  Etape 3</t>
  </si>
  <si>
    <t>SECTION 2 (fond rouge) : saisir chaque DEPENSE — date, N facture, fournisseur, categorie, montant HT</t>
  </si>
  <si>
    <t xml:space="preserve">  Etape 4</t>
  </si>
  <si>
    <t>TVA (col H) et TTC (col I) se calculent AUTOMATIQUEMENT depuis le taux parametre en haut</t>
  </si>
  <si>
    <t xml:space="preserve">  Etape 5</t>
  </si>
  <si>
    <t>Cliquer sur la cellule Categorie ou Statut pour choisir dans la LISTE DEROULANTE</t>
  </si>
  <si>
    <t xml:space="preserve">  Etape 6</t>
  </si>
  <si>
    <t>Ventilation par categorie et bilan se mettent a jour en temps reel</t>
  </si>
  <si>
    <t xml:space="preserve">  Etape 7</t>
  </si>
  <si>
    <t>Ce bilan annuel consolide les 12 mois automatiquement (vert = lien inter-feuilles)</t>
  </si>
  <si>
    <t xml:space="preserve">  Etape 8</t>
  </si>
  <si>
    <t>JAUNE = a saisir  |  BLEU = valeur saisie  |  NOIR = formule automatique</t>
  </si>
  <si>
    <t xml:space="preserve">  Etape 9</t>
  </si>
  <si>
    <t>TVA nette = a declarer avant le 15 du mois suivant a la DGI Benin</t>
  </si>
  <si>
    <t xml:space="preserve">  Etape 10</t>
  </si>
  <si>
    <t>Ne jamais supprimer une facture annulee — mettre statut ANNULEE</t>
  </si>
  <si>
    <t>RETOUR GAGNANT BENIN  —  REGISTRE FACTURES  •  JANVIER 2026</t>
  </si>
  <si>
    <t>IFU : 3202644573981   |   RCCM : RB/COT/26 B 42001   |   Haie-Vive Cocotiers, Carre 1158, Cotonou</t>
  </si>
  <si>
    <t>LEGENDE :   Fond JAUNE = a SAISIR  |  Texte BLEU = valeur saisie  |  Texte NOIR = formule automatique</t>
  </si>
  <si>
    <t>PARAMETRE TVA (taux) :</t>
  </si>
  <si>
    <t>Modifier si exoneration TVA (mettre 0%)</t>
  </si>
  <si>
    <t>SECTION 1  —  RECETTES  (ENTREES)</t>
  </si>
  <si>
    <t>N</t>
  </si>
  <si>
    <t>DATE</t>
  </si>
  <si>
    <t>N FACTURE / RECU</t>
  </si>
  <si>
    <t>CLIENT / BENEFICIAIRE</t>
  </si>
  <si>
    <t>CATEGORIE</t>
  </si>
  <si>
    <t>REF. DOSSIER</t>
  </si>
  <si>
    <t>MONTANT HT (FCFA)</t>
  </si>
  <si>
    <t>TVA (auto)</t>
  </si>
  <si>
    <t>TTC (auto)</t>
  </si>
  <si>
    <t>STATUT</t>
  </si>
  <si>
    <t>SOUS-TOTAL RECETTES DU MOIS</t>
  </si>
  <si>
    <t>VENTILATION RECETTES PAR CATEGORIE</t>
  </si>
  <si>
    <t>NB FAC.</t>
  </si>
  <si>
    <t>TOTAL HT</t>
  </si>
  <si>
    <t>TOTAL TTC</t>
  </si>
  <si>
    <t>% TOTAL</t>
  </si>
  <si>
    <t>Accompagnement diaspora</t>
  </si>
  <si>
    <t>Ceremonie du Nom</t>
  </si>
  <si>
    <t>Commission partenaire</t>
  </si>
  <si>
    <t>Partenariat institutionnel</t>
  </si>
  <si>
    <t>Formation / Atelier</t>
  </si>
  <si>
    <t>Location / Prestation</t>
  </si>
  <si>
    <t>Subvention / Aide</t>
  </si>
  <si>
    <t>Autre recette</t>
  </si>
  <si>
    <t>SECTION 2  —  DEPENSES  (SORTIES)</t>
  </si>
  <si>
    <t>FOURNISSEUR</t>
  </si>
  <si>
    <t>REF.</t>
  </si>
  <si>
    <t>SOUS-TOTAL DEPENSES DU MOIS</t>
  </si>
  <si>
    <t>VENTILATION DEPENSES PAR CATEGORIE</t>
  </si>
  <si>
    <t>Salaires et charges</t>
  </si>
  <si>
    <t>Loyer et charges</t>
  </si>
  <si>
    <t>Fournitures bureau</t>
  </si>
  <si>
    <t>Deplacement et carburant</t>
  </si>
  <si>
    <t>Telephone et Internet</t>
  </si>
  <si>
    <t>Communication et Pub</t>
  </si>
  <si>
    <t>Sous-traitants</t>
  </si>
  <si>
    <t>Frais bancaires</t>
  </si>
  <si>
    <t>Impots et taxes</t>
  </si>
  <si>
    <t>Frais evenement</t>
  </si>
  <si>
    <t>Formation</t>
  </si>
  <si>
    <t>Materiel et equipement</t>
  </si>
  <si>
    <t>Autre depense</t>
  </si>
  <si>
    <t>SECTION 3  —  BILAN FINANCIER DU MOIS</t>
  </si>
  <si>
    <t>TOTAL RECETTES HT</t>
  </si>
  <si>
    <t>TOTAL RECETTES TTC</t>
  </si>
  <si>
    <t>TOTAL DEPENSES HT</t>
  </si>
  <si>
    <t>TOTAL DEPENSES TTC</t>
  </si>
  <si>
    <t>TVA COLLECTEE  (recettes x taux)</t>
  </si>
  <si>
    <t>TVA DEDUCTIBLE (depenses x taux)</t>
  </si>
  <si>
    <t>TVA NETTE A REVERSER A LA DGI</t>
  </si>
  <si>
    <t>RESULTAT NET HT  (Recettes - Depenses)</t>
  </si>
  <si>
    <t>RESULTAT NET TTC</t>
  </si>
  <si>
    <t>TAUX DE MARGE NETTE</t>
  </si>
  <si>
    <t>RAPPELS LEGAUX &amp; COMPTABLES</t>
  </si>
  <si>
    <t xml:space="preserve">  • TVA Benin 18% — Declaration mensuelle DGI avant le 15 du mois M+1</t>
  </si>
  <si>
    <t xml:space="preserve">  • Numerotation sequentielle sans rupture : ex. RGB-2026-001, RGB-2026-002...</t>
  </si>
  <si>
    <t xml:space="preserve">  • Mentions obligatoires : IFU emetteur, IFU destinataire, date, objet, HT, TVA, TTC</t>
  </si>
  <si>
    <t xml:space="preserve">  • Conservation des originaux : 10 ans minimum (Code General des Impots Benin)</t>
  </si>
  <si>
    <t xml:space="preserve">  • Facture obligatoire des 10 000 FCFA | Statut ANNULEE : ne jamais supprimer la ligne</t>
  </si>
  <si>
    <t>RETOUR GAGNANT BENIN  —  REGISTRE FACTURES  •  FEVRIER 2026</t>
  </si>
  <si>
    <t>RETOUR GAGNANT BENIN  —  REGISTRE FACTURES  •  MARS 2026</t>
  </si>
  <si>
    <t>RETOUR GAGNANT BENIN  —  REGISTRE FACTURES  •  AVRIL 2026</t>
  </si>
  <si>
    <t>RETOUR GAGNANT BENIN  —  REGISTRE FACTURES  •  MAI 2026</t>
  </si>
  <si>
    <t>RETOUR GAGNANT BENIN  —  REGISTRE FACTURES  •  JUIN 2026</t>
  </si>
  <si>
    <t>RETOUR GAGNANT BENIN  —  REGISTRE FACTURES  •  JUILLET 2026</t>
  </si>
  <si>
    <t>RETOUR GAGNANT BENIN  —  REGISTRE FACTURES  •  AOUT 2026</t>
  </si>
  <si>
    <t>RETOUR GAGNANT BENIN  —  REGISTRE FACTURES  •  SEPTEMBRE 2026</t>
  </si>
  <si>
    <t>RETOUR GAGNANT BENIN  —  REGISTRE FACTURES  •  OCTOBRE 2026</t>
  </si>
  <si>
    <t>RETOUR GAGNANT BENIN  —  REGISTRE FACTURES  •  NOVEMBRE 2026</t>
  </si>
  <si>
    <t>RETOUR GAGNANT BENIN  —  REGISTRE FACTURES  •  DECEMBRE 2026</t>
  </si>
  <si>
    <t>2076755</t>
  </si>
  <si>
    <t>SBEE</t>
  </si>
  <si>
    <t>PAYEE</t>
  </si>
  <si>
    <t>2016746</t>
  </si>
  <si>
    <t>K0002875984</t>
  </si>
  <si>
    <t>SBIN</t>
  </si>
  <si>
    <t>24660</t>
  </si>
  <si>
    <t>SOLEIL</t>
  </si>
  <si>
    <t>57198/CHILL AND GRILL/26032026/510687</t>
  </si>
  <si>
    <t>RESTAURANT CHILL AND GRILL</t>
  </si>
  <si>
    <t>202600248289</t>
  </si>
  <si>
    <t>EREVAN</t>
  </si>
  <si>
    <t>21503</t>
  </si>
  <si>
    <t>EMINENCE  PRO</t>
  </si>
  <si>
    <t>132200005507</t>
  </si>
  <si>
    <t xml:space="preserve">FAO ET FILS SERVICES </t>
  </si>
  <si>
    <t>001493015862</t>
  </si>
  <si>
    <t>ECOBANK</t>
  </si>
  <si>
    <t>ED04001324</t>
  </si>
  <si>
    <t>ORCA DECO</t>
  </si>
  <si>
    <t>451021617</t>
  </si>
  <si>
    <t>CHAFTEL</t>
  </si>
  <si>
    <t>00126</t>
  </si>
  <si>
    <t>EBENE</t>
  </si>
  <si>
    <t>2617-1-002137</t>
  </si>
  <si>
    <t xml:space="preserve">LIVINGSTONE </t>
  </si>
  <si>
    <t>CAISSE/559002-DAV/300821-ANA</t>
  </si>
  <si>
    <t>RHUM &amp; FOOD</t>
  </si>
  <si>
    <t>12568</t>
  </si>
  <si>
    <t>LE HUBLOT</t>
  </si>
  <si>
    <t>20100807651FB</t>
  </si>
  <si>
    <t>SONEB</t>
  </si>
  <si>
    <t>167902</t>
  </si>
  <si>
    <t>MIKEM TECHNOLOGIE</t>
  </si>
  <si>
    <t>0000166</t>
  </si>
  <si>
    <t xml:space="preserve">MAFNIFIQUE MEUBLES </t>
  </si>
  <si>
    <t>000189</t>
  </si>
  <si>
    <t>YAMOUTOUGOU &amp; FILS</t>
  </si>
  <si>
    <t>FACAEROP2602306</t>
  </si>
  <si>
    <t>MOOV AFRICA</t>
  </si>
  <si>
    <t>FACAEROP26010032</t>
  </si>
  <si>
    <t>CC235883</t>
  </si>
  <si>
    <t>SONAEC</t>
  </si>
  <si>
    <t>202600238312</t>
  </si>
  <si>
    <t>56536/CHILL AND GRILL/16022026/503439</t>
  </si>
  <si>
    <t>CHILL AND GRILL</t>
  </si>
  <si>
    <t>230798/DOMINO/16022026/503438</t>
  </si>
  <si>
    <t>RESTAURANT DOMINO</t>
  </si>
  <si>
    <t>19615792602160001</t>
  </si>
  <si>
    <t>RESTAU CHINOIS</t>
  </si>
  <si>
    <t>202600142100</t>
  </si>
  <si>
    <t>202600142174</t>
  </si>
  <si>
    <t>EM01050395-6</t>
  </si>
  <si>
    <t>KPONNON BAYE LOUIS</t>
  </si>
  <si>
    <t>EN ATTENTE</t>
  </si>
  <si>
    <t>F00400</t>
  </si>
  <si>
    <t>EDEN CLEAN</t>
  </si>
  <si>
    <t>EM01698052-2</t>
  </si>
  <si>
    <t>NKA DRIVE</t>
  </si>
  <si>
    <t>MAITRE FRANCIS DAKO</t>
  </si>
  <si>
    <t>25EDE0035</t>
  </si>
  <si>
    <t>MIA COMPANY</t>
  </si>
  <si>
    <t>AZONMEKOUETE &amp;FILS</t>
  </si>
  <si>
    <t>003409</t>
  </si>
  <si>
    <t>LE DILLON</t>
  </si>
  <si>
    <t>239540635729CO</t>
  </si>
  <si>
    <t>SGDS</t>
  </si>
  <si>
    <t>0004368</t>
  </si>
  <si>
    <t>PEPITA D.</t>
  </si>
  <si>
    <t>DOMINIQUE &amp; FILS</t>
  </si>
  <si>
    <t>2009397</t>
  </si>
  <si>
    <t>2009615</t>
  </si>
  <si>
    <t>0000127</t>
  </si>
  <si>
    <t>LOUECARS</t>
  </si>
  <si>
    <t>396955</t>
  </si>
  <si>
    <t>CNSS</t>
  </si>
  <si>
    <t>3244414</t>
  </si>
  <si>
    <t>3244413</t>
  </si>
  <si>
    <t>IT01001142-322</t>
  </si>
  <si>
    <t>CABINET D'AVOCATS FRANCIS DAKO</t>
  </si>
  <si>
    <t>FAC-hgjTN</t>
  </si>
  <si>
    <t>MA-INFO</t>
  </si>
  <si>
    <t>262-1-002924</t>
  </si>
  <si>
    <t>LIVINGSTONE</t>
  </si>
  <si>
    <t xml:space="preserve">MAGNIFIQUE MEUBLES </t>
  </si>
  <si>
    <t>EM01068121-445</t>
  </si>
  <si>
    <t>FCKM TECHNOLOGY</t>
  </si>
  <si>
    <t>11768148961</t>
  </si>
  <si>
    <t xml:space="preserve">Felix Boris KOFFI </t>
  </si>
  <si>
    <t>11817859678</t>
  </si>
  <si>
    <t>Alphone SOSSA</t>
  </si>
  <si>
    <t>EM01022664-21</t>
  </si>
  <si>
    <t>WABI</t>
  </si>
  <si>
    <t>FP202604101</t>
  </si>
  <si>
    <t>AIT TECHNOLOGY</t>
  </si>
  <si>
    <t>202600016443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</si>
</sst>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FCFA&quot;;\(#,##0&quot; FCFA)&quot;;\-"/>
    <numFmt numFmtId="165" formatCode="0.0%"/>
  </numFmts>
  <fonts count="31" x14ac:knownFonts="1">
    <font>
      <sz val="11"/>
      <color theme="1"/>
      <name val="Calibri"/>
      <family val="2"/>
      <charset val="1"/>
    </font>
    <font>
      <b/>
      <sz val="14"/>
      <color rgb="FFD4A017"/>
      <name val="Arial"/>
      <charset val="1"/>
    </font>
    <font>
      <b/>
      <sz val="8"/>
      <color rgb="FF0D2B4E"/>
      <name val="Arial"/>
      <charset val="1"/>
    </font>
    <font>
      <sz val="8"/>
      <color rgb="FF1A4A6B"/>
      <name val="Arial"/>
      <charset val="1"/>
    </font>
    <font>
      <b/>
      <sz val="9"/>
      <color rgb="FFD4A017"/>
      <name val="Arial"/>
      <charset val="1"/>
    </font>
    <font>
      <sz val="8"/>
      <color rgb="FF888888"/>
      <name val="Arial"/>
      <charset val="1"/>
    </font>
    <font>
      <b/>
      <sz val="9"/>
      <color rgb="FF0D2B4E"/>
      <name val="Arial"/>
      <charset val="1"/>
    </font>
    <font>
      <sz val="9"/>
      <color rgb="FF006400"/>
      <name val="Arial"/>
      <charset val="1"/>
    </font>
    <font>
      <b/>
      <sz val="10"/>
      <color rgb="FFD4A017"/>
      <name val="Arial"/>
      <charset val="1"/>
    </font>
    <font>
      <b/>
      <sz val="10"/>
      <color rgb="FFFFFFFF"/>
      <name val="Arial"/>
      <charset val="1"/>
    </font>
    <font>
      <sz val="9"/>
      <color rgb="FF0D2B4E"/>
      <name val="Arial"/>
      <charset val="1"/>
    </font>
    <font>
      <b/>
      <sz val="10"/>
      <color rgb="FF006400"/>
      <name val="Arial"/>
      <charset val="1"/>
    </font>
    <font>
      <b/>
      <sz val="9"/>
      <color rgb="FFFFFFFF"/>
      <name val="Arial"/>
      <charset val="1"/>
    </font>
    <font>
      <sz val="9"/>
      <color rgb="FF333333"/>
      <name val="Arial"/>
      <charset val="1"/>
    </font>
    <font>
      <b/>
      <sz val="12"/>
      <color rgb="FFD4A017"/>
      <name val="Arial"/>
      <charset val="1"/>
    </font>
    <font>
      <b/>
      <sz val="10"/>
      <color rgb="FF0000CC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sz val="9"/>
      <color rgb="FF0000CC"/>
      <name val="Arial"/>
      <charset val="1"/>
    </font>
    <font>
      <sz val="9"/>
      <color rgb="FF000000"/>
      <name val="Arial"/>
      <charset val="1"/>
    </font>
    <font>
      <sz val="9"/>
      <color rgb="FFFFFFFF"/>
      <name val="Arial"/>
      <charset val="1"/>
    </font>
    <font>
      <b/>
      <sz val="11"/>
      <color rgb="FFD4A017"/>
      <name val="Arial"/>
      <charset val="1"/>
    </font>
    <font>
      <b/>
      <sz val="9"/>
      <color rgb="FF006400"/>
      <name val="Arial"/>
      <charset val="1"/>
    </font>
    <font>
      <b/>
      <sz val="11"/>
      <color rgb="FF006400"/>
      <name val="Arial"/>
      <charset val="1"/>
    </font>
    <font>
      <b/>
      <sz val="9"/>
      <color rgb="FFA32200"/>
      <name val="Arial"/>
      <charset val="1"/>
    </font>
    <font>
      <b/>
      <sz val="11"/>
      <color rgb="FFA32200"/>
      <name val="Arial"/>
      <charset val="1"/>
    </font>
    <font>
      <b/>
      <sz val="9"/>
      <color rgb="FF7A5200"/>
      <name val="Arial"/>
      <charset val="1"/>
    </font>
    <font>
      <b/>
      <sz val="11"/>
      <color rgb="FF7A5200"/>
      <name val="Arial"/>
      <charset val="1"/>
    </font>
    <font>
      <b/>
      <sz val="11"/>
      <color rgb="FF0D2B4E"/>
      <name val="Arial"/>
      <charset val="1"/>
    </font>
    <font>
      <b/>
      <sz val="10"/>
      <color rgb="FF0D2B4E"/>
      <name val="Arial"/>
      <charset val="1"/>
    </font>
    <font>
      <i/>
      <sz val="8"/>
      <color rgb="FF444444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0D2B4E"/>
        <bgColor rgb="FF333333"/>
      </patternFill>
    </fill>
    <fill>
      <patternFill patternType="solid">
        <fgColor rgb="FFD4A017"/>
        <bgColor rgb="FFFFCC00"/>
      </patternFill>
    </fill>
    <fill>
      <patternFill patternType="solid">
        <fgColor rgb="FFFBF7EC"/>
        <bgColor rgb="FFF0F0F0"/>
      </patternFill>
    </fill>
    <fill>
      <patternFill patternType="solid">
        <fgColor rgb="FFFFFFFF"/>
        <bgColor rgb="FFFBF7EC"/>
      </patternFill>
    </fill>
    <fill>
      <patternFill patternType="solid">
        <fgColor rgb="FFF0F0F0"/>
        <bgColor rgb="FFFDECEA"/>
      </patternFill>
    </fill>
    <fill>
      <patternFill patternType="solid">
        <fgColor rgb="FF0A6B3B"/>
        <bgColor rgb="FF006400"/>
      </patternFill>
    </fill>
    <fill>
      <patternFill patternType="solid">
        <fgColor rgb="FFA32200"/>
        <bgColor rgb="FF6B1500"/>
      </patternFill>
    </fill>
    <fill>
      <patternFill patternType="solid">
        <fgColor rgb="FF7A5200"/>
        <bgColor rgb="FF666666"/>
      </patternFill>
    </fill>
    <fill>
      <patternFill patternType="solid">
        <fgColor rgb="FF1A4A6B"/>
        <bgColor rgb="FF0D2B4E"/>
      </patternFill>
    </fill>
    <fill>
      <patternFill patternType="solid">
        <fgColor rgb="FFFFF3CD"/>
        <bgColor rgb="FFFBF7EC"/>
      </patternFill>
    </fill>
    <fill>
      <patternFill patternType="solid">
        <fgColor rgb="FFD6EFE0"/>
        <bgColor rgb="FFDCF0FF"/>
      </patternFill>
    </fill>
    <fill>
      <patternFill patternType="solid">
        <fgColor rgb="FFFDECEA"/>
        <bgColor rgb="FFF0F0F0"/>
      </patternFill>
    </fill>
    <fill>
      <patternFill patternType="solid">
        <fgColor rgb="FF6B1500"/>
        <bgColor rgb="FF800000"/>
      </patternFill>
    </fill>
    <fill>
      <patternFill patternType="solid">
        <fgColor rgb="FFFFE08A"/>
        <bgColor rgb="FFFFF3CD"/>
      </patternFill>
    </fill>
    <fill>
      <patternFill patternType="solid">
        <fgColor rgb="FFDCF0FF"/>
        <bgColor rgb="FFD6EFE0"/>
      </patternFill>
    </fill>
    <fill>
      <patternFill patternType="solid">
        <fgColor rgb="FFC8E8FF"/>
        <bgColor rgb="FFDCF0FF"/>
      </patternFill>
    </fill>
  </fills>
  <borders count="10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medium">
        <color rgb="FFD4A017"/>
      </top>
      <bottom style="medium">
        <color rgb="FFD4A017"/>
      </bottom>
      <diagonal/>
    </border>
    <border>
      <left style="thin">
        <color rgb="FFCCCCCC"/>
      </left>
      <right style="thin">
        <color rgb="FFCCCCCC"/>
      </right>
      <top style="medium">
        <color rgb="FF0A6B3B"/>
      </top>
      <bottom style="medium">
        <color rgb="FF0A6B3B"/>
      </bottom>
      <diagonal/>
    </border>
    <border>
      <left style="thin">
        <color rgb="FFCCCCCC"/>
      </left>
      <right style="thin">
        <color rgb="FFCCCCCC"/>
      </right>
      <top style="medium">
        <color rgb="FFA32200"/>
      </top>
      <bottom style="medium">
        <color rgb="FFA32200"/>
      </bottom>
      <diagonal/>
    </border>
    <border>
      <left style="thin">
        <color rgb="FFCCCCCC"/>
      </left>
      <right/>
      <top style="medium">
        <color rgb="FF006400"/>
      </top>
      <bottom style="medium">
        <color rgb="FF006400"/>
      </bottom>
      <diagonal/>
    </border>
    <border>
      <left style="thin">
        <color rgb="FFCCCCCC"/>
      </left>
      <right/>
      <top style="medium">
        <color rgb="FFA32200"/>
      </top>
      <bottom style="medium">
        <color rgb="FFA32200"/>
      </bottom>
      <diagonal/>
    </border>
    <border>
      <left style="thin">
        <color rgb="FFCCCCCC"/>
      </left>
      <right/>
      <top style="medium">
        <color rgb="FF7A5200"/>
      </top>
      <bottom style="medium">
        <color rgb="FF7A5200"/>
      </bottom>
      <diagonal/>
    </border>
    <border>
      <left style="thin">
        <color rgb="FFCCCCCC"/>
      </left>
      <right/>
      <top style="medium">
        <color rgb="FF0D2B4E"/>
      </top>
      <bottom style="medium">
        <color rgb="FF0D2B4E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165" fontId="7" fillId="6" borderId="2" xfId="0" applyNumberFormat="1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164" fontId="9" fillId="8" borderId="3" xfId="0" applyNumberFormat="1" applyFont="1" applyFill="1" applyBorder="1" applyAlignment="1">
      <alignment horizontal="center" vertical="center" wrapText="1"/>
    </xf>
    <xf numFmtId="164" fontId="8" fillId="9" borderId="3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5" fontId="8" fillId="2" borderId="3" xfId="0" applyNumberFormat="1" applyFont="1" applyFill="1" applyBorder="1" applyAlignment="1">
      <alignment horizontal="center" vertical="center" wrapText="1"/>
    </xf>
    <xf numFmtId="9" fontId="15" fillId="11" borderId="3" xfId="0" applyNumberFormat="1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4" fontId="18" fillId="5" borderId="2" xfId="0" applyNumberFormat="1" applyFont="1" applyFill="1" applyBorder="1" applyAlignment="1">
      <alignment horizontal="left" vertical="center" wrapText="1"/>
    </xf>
    <xf numFmtId="49" fontId="18" fillId="5" borderId="2" xfId="0" applyNumberFormat="1" applyFont="1" applyFill="1" applyBorder="1" applyAlignment="1">
      <alignment horizontal="left" vertical="center" wrapText="1"/>
    </xf>
    <xf numFmtId="164" fontId="18" fillId="5" borderId="2" xfId="0" applyNumberFormat="1" applyFont="1" applyFill="1" applyBorder="1" applyAlignment="1">
      <alignment horizontal="left" vertical="center" wrapText="1"/>
    </xf>
    <xf numFmtId="164" fontId="19" fillId="5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14" fontId="18" fillId="12" borderId="2" xfId="0" applyNumberFormat="1" applyFont="1" applyFill="1" applyBorder="1" applyAlignment="1">
      <alignment horizontal="left" vertical="center" wrapText="1"/>
    </xf>
    <xf numFmtId="49" fontId="18" fillId="12" borderId="2" xfId="0" applyNumberFormat="1" applyFont="1" applyFill="1" applyBorder="1" applyAlignment="1">
      <alignment horizontal="left" vertical="center" wrapText="1"/>
    </xf>
    <xf numFmtId="164" fontId="18" fillId="12" borderId="2" xfId="0" applyNumberFormat="1" applyFont="1" applyFill="1" applyBorder="1" applyAlignment="1">
      <alignment horizontal="left" vertical="center" wrapText="1"/>
    </xf>
    <xf numFmtId="164" fontId="19" fillId="12" borderId="2" xfId="0" applyNumberFormat="1" applyFont="1" applyFill="1" applyBorder="1" applyAlignment="1">
      <alignment horizontal="center" vertical="center" wrapText="1"/>
    </xf>
    <xf numFmtId="164" fontId="12" fillId="7" borderId="4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3" fontId="19" fillId="12" borderId="2" xfId="0" applyNumberFormat="1" applyFont="1" applyFill="1" applyBorder="1" applyAlignment="1">
      <alignment horizontal="center" vertical="center" wrapText="1"/>
    </xf>
    <xf numFmtId="165" fontId="19" fillId="12" borderId="2" xfId="0" applyNumberFormat="1" applyFont="1" applyFill="1" applyBorder="1" applyAlignment="1">
      <alignment horizontal="center" vertical="center" wrapText="1"/>
    </xf>
    <xf numFmtId="3" fontId="19" fillId="5" borderId="2" xfId="0" applyNumberFormat="1" applyFont="1" applyFill="1" applyBorder="1" applyAlignment="1">
      <alignment horizontal="center" vertical="center" wrapText="1"/>
    </xf>
    <xf numFmtId="165" fontId="19" fillId="5" borderId="2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14" fontId="18" fillId="13" borderId="2" xfId="0" applyNumberFormat="1" applyFont="1" applyFill="1" applyBorder="1" applyAlignment="1">
      <alignment horizontal="left" vertical="center" wrapText="1"/>
    </xf>
    <xf numFmtId="49" fontId="18" fillId="13" borderId="2" xfId="0" applyNumberFormat="1" applyFont="1" applyFill="1" applyBorder="1" applyAlignment="1">
      <alignment horizontal="left" vertical="center" wrapText="1"/>
    </xf>
    <xf numFmtId="164" fontId="18" fillId="13" borderId="2" xfId="0" applyNumberFormat="1" applyFont="1" applyFill="1" applyBorder="1" applyAlignment="1">
      <alignment horizontal="left" vertical="center" wrapText="1"/>
    </xf>
    <xf numFmtId="164" fontId="19" fillId="13" borderId="2" xfId="0" applyNumberFormat="1" applyFont="1" applyFill="1" applyBorder="1" applyAlignment="1">
      <alignment horizontal="center" vertical="center" wrapText="1"/>
    </xf>
    <xf numFmtId="164" fontId="12" fillId="8" borderId="5" xfId="0" applyNumberFormat="1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3" fontId="19" fillId="13" borderId="2" xfId="0" applyNumberFormat="1" applyFont="1" applyFill="1" applyBorder="1" applyAlignment="1">
      <alignment horizontal="center" vertical="center" wrapText="1"/>
    </xf>
    <xf numFmtId="165" fontId="19" fillId="13" borderId="2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right" vertical="center" wrapText="1"/>
    </xf>
    <xf numFmtId="164" fontId="25" fillId="15" borderId="7" xfId="0" applyNumberFormat="1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right" vertical="center" wrapText="1"/>
    </xf>
    <xf numFmtId="164" fontId="28" fillId="16" borderId="9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right" vertical="center" wrapText="1"/>
    </xf>
    <xf numFmtId="164" fontId="28" fillId="17" borderId="9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right" vertical="center" wrapText="1"/>
    </xf>
    <xf numFmtId="165" fontId="28" fillId="6" borderId="9" xfId="0" applyNumberFormat="1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right" vertical="center" wrapText="1"/>
    </xf>
    <xf numFmtId="164" fontId="23" fillId="12" borderId="6" xfId="0" applyNumberFormat="1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right" vertical="center" wrapText="1"/>
    </xf>
    <xf numFmtId="164" fontId="25" fillId="13" borderId="7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right" vertical="center" wrapText="1"/>
    </xf>
    <xf numFmtId="164" fontId="27" fillId="11" borderId="8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164" fontId="19" fillId="5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/>
    </xf>
    <xf numFmtId="164" fontId="19" fillId="13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164" fontId="19" fillId="12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righ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3" fontId="11" fillId="6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5" fontId="11" fillId="6" borderId="1" xfId="0" applyNumberFormat="1" applyFont="1" applyFill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6B1500"/>
      <rgbColor rgb="FF006400"/>
      <rgbColor rgb="FF000080"/>
      <rgbColor rgb="FF7A5200"/>
      <rgbColor rgb="FF800080"/>
      <rgbColor rgb="FF0A6B3B"/>
      <rgbColor rgb="FFBBBBBB"/>
      <rgbColor rgb="FF888888"/>
      <rgbColor rgb="FF9999FF"/>
      <rgbColor rgb="FF993366"/>
      <rgbColor rgb="FFFFF3CD"/>
      <rgbColor rgb="FFDCF0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8FF"/>
      <rgbColor rgb="FFD6EFE0"/>
      <rgbColor rgb="FFFBF7EC"/>
      <rgbColor rgb="FFF0F0F0"/>
      <rgbColor rgb="FFFDECEA"/>
      <rgbColor rgb="FFCC99FF"/>
      <rgbColor rgb="FFFFE08A"/>
      <rgbColor rgb="FF3366FF"/>
      <rgbColor rgb="FF33CCCC"/>
      <rgbColor rgb="FF99CC00"/>
      <rgbColor rgb="FFFFCC00"/>
      <rgbColor rgb="FFD4A017"/>
      <rgbColor rgb="FFFF6600"/>
      <rgbColor rgb="FF666666"/>
      <rgbColor rgb="FF969696"/>
      <rgbColor rgb="FF0D2B4E"/>
      <rgbColor rgb="FF339966"/>
      <rgbColor rgb="FF003300"/>
      <rgbColor rgb="FF444444"/>
      <rgbColor rgb="FFA32200"/>
      <rgbColor rgb="FF993366"/>
      <rgbColor rgb="FF1A4A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Normal="100" workbookViewId="0">
      <pane ySplit="4" topLeftCell="A35" activePane="bottomLeft" state="frozen"/>
      <selection pane="bottomLeft" activeCell="F59" activeCellId="1" sqref="A1:I1 F59"/>
    </sheetView>
  </sheetViews>
  <sheetFormatPr baseColWidth="10" defaultColWidth="8.7109375" defaultRowHeight="15" x14ac:dyDescent="0.25"/>
  <cols>
    <col min="1" max="1" width="4" customWidth="1"/>
    <col min="2" max="8" width="16" customWidth="1"/>
    <col min="9" max="9" width="14" customWidth="1"/>
  </cols>
  <sheetData>
    <row r="1" spans="1:9" ht="30" customHeight="1" x14ac:dyDescent="0.25">
      <c r="A1" s="93" t="s">
        <v>0</v>
      </c>
      <c r="B1" s="93"/>
      <c r="C1" s="93"/>
      <c r="D1" s="93"/>
      <c r="E1" s="93"/>
      <c r="F1" s="93"/>
      <c r="G1" s="93"/>
      <c r="H1" s="93"/>
      <c r="I1" s="93"/>
    </row>
    <row r="2" spans="1:9" ht="13.5" customHeight="1" x14ac:dyDescent="0.25">
      <c r="A2" s="75" t="s">
        <v>1</v>
      </c>
      <c r="B2" s="75"/>
      <c r="C2" s="75"/>
      <c r="D2" s="75"/>
      <c r="E2" s="75"/>
      <c r="F2" s="75"/>
      <c r="G2" s="75"/>
      <c r="H2" s="75"/>
      <c r="I2" s="75"/>
    </row>
    <row r="4" spans="1:9" ht="13.5" customHeight="1" x14ac:dyDescent="0.25">
      <c r="A4" s="76" t="s">
        <v>2</v>
      </c>
      <c r="B4" s="76"/>
      <c r="C4" s="76"/>
      <c r="D4" s="76"/>
      <c r="E4" s="76"/>
      <c r="F4" s="76"/>
      <c r="G4" s="76"/>
      <c r="H4" s="76"/>
      <c r="I4" s="76"/>
    </row>
    <row r="6" spans="1:9" ht="25.5" customHeight="1" x14ac:dyDescent="0.25">
      <c r="A6" s="1"/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</row>
    <row r="7" spans="1:9" ht="19.5" customHeight="1" x14ac:dyDescent="0.25">
      <c r="A7" s="2">
        <v>1</v>
      </c>
      <c r="B7" s="3" t="s">
        <v>11</v>
      </c>
      <c r="C7" s="4">
        <f>Janvier!G28</f>
        <v>0</v>
      </c>
      <c r="D7" s="4">
        <f>Janvier!I28</f>
        <v>0</v>
      </c>
      <c r="E7" s="4">
        <f>Janvier!G62</f>
        <v>794406</v>
      </c>
      <c r="F7" s="4">
        <f>Janvier!I62</f>
        <v>1732476.08</v>
      </c>
      <c r="G7" s="4">
        <f>Janvier!G28*0.18-Janvier!G62*0.18</f>
        <v>-142993.07999999999</v>
      </c>
      <c r="H7" s="4">
        <f>Janvier!G28-Janvier!G62</f>
        <v>-794406</v>
      </c>
      <c r="I7" s="5">
        <f>IFERROR((Janvier!G28-Janvier!G62)/Janvier!G28,0)</f>
        <v>0</v>
      </c>
    </row>
    <row r="8" spans="1:9" ht="19.5" customHeight="1" x14ac:dyDescent="0.25">
      <c r="A8" s="6">
        <v>2</v>
      </c>
      <c r="B8" s="7" t="s">
        <v>12</v>
      </c>
      <c r="C8" s="8">
        <f>Fevrier!G28</f>
        <v>0</v>
      </c>
      <c r="D8" s="8">
        <f>Fevrier!I28</f>
        <v>0</v>
      </c>
      <c r="E8" s="8">
        <f>Fevrier!G70</f>
        <v>712039</v>
      </c>
      <c r="F8" s="8">
        <f>Fevrier!I70</f>
        <v>3658606.42</v>
      </c>
      <c r="G8" s="8">
        <f>Fevrier!G28*0.18-Fevrier!G70*0.18</f>
        <v>-128167.01999999999</v>
      </c>
      <c r="H8" s="8">
        <f>Fevrier!G28-Fevrier!G70</f>
        <v>-712039</v>
      </c>
      <c r="I8" s="9">
        <f>IFERROR((Fevrier!G28-Fevrier!G70)/Fevrier!G28,0)</f>
        <v>0</v>
      </c>
    </row>
    <row r="9" spans="1:9" ht="19.5" customHeight="1" x14ac:dyDescent="0.25">
      <c r="A9" s="2">
        <v>3</v>
      </c>
      <c r="B9" s="3" t="s">
        <v>13</v>
      </c>
      <c r="C9" s="4">
        <f>Mars!G28</f>
        <v>0</v>
      </c>
      <c r="D9" s="4">
        <f>Mars!I28</f>
        <v>0</v>
      </c>
      <c r="E9" s="4">
        <f>Mars!G62</f>
        <v>746058</v>
      </c>
      <c r="F9" s="4">
        <f>Mars!I62</f>
        <v>1182265.44</v>
      </c>
      <c r="G9" s="4">
        <f>Mars!G28*0.18-Mars!G62*0.18</f>
        <v>-134290.44</v>
      </c>
      <c r="H9" s="4">
        <f>Mars!G28-Mars!G62</f>
        <v>-746058</v>
      </c>
      <c r="I9" s="5">
        <f>IFERROR((Mars!G28-Mars!G62)/Mars!G28,0)</f>
        <v>0</v>
      </c>
    </row>
    <row r="10" spans="1:9" ht="19.5" customHeight="1" x14ac:dyDescent="0.25">
      <c r="A10" s="6">
        <v>4</v>
      </c>
      <c r="B10" s="7" t="s">
        <v>14</v>
      </c>
      <c r="C10" s="8">
        <f>Avril!G28</f>
        <v>0</v>
      </c>
      <c r="D10" s="8">
        <f>Avril!I28</f>
        <v>0</v>
      </c>
      <c r="E10" s="8">
        <f>Avril!G62</f>
        <v>113092</v>
      </c>
      <c r="F10" s="8">
        <f>Avril!I62</f>
        <v>1320760.56</v>
      </c>
      <c r="G10" s="8">
        <f>Avril!G28*0.18-Avril!G62*0.18</f>
        <v>-20356.559999999998</v>
      </c>
      <c r="H10" s="8">
        <f>Avril!G28-Avril!G62</f>
        <v>-113092</v>
      </c>
      <c r="I10" s="9">
        <f>IFERROR((Avril!G28-Avril!G62)/Avril!G28,0)</f>
        <v>0</v>
      </c>
    </row>
    <row r="11" spans="1:9" ht="19.5" customHeight="1" x14ac:dyDescent="0.25">
      <c r="A11" s="2">
        <v>5</v>
      </c>
      <c r="B11" s="3" t="s">
        <v>15</v>
      </c>
      <c r="C11" s="4">
        <f>Mai!G28</f>
        <v>0</v>
      </c>
      <c r="D11" s="4">
        <f>Mai!I28</f>
        <v>0</v>
      </c>
      <c r="E11" s="4">
        <f>Mai!G62</f>
        <v>0</v>
      </c>
      <c r="F11" s="4">
        <f>Mai!I62</f>
        <v>0</v>
      </c>
      <c r="G11" s="4">
        <f>Mai!G28*0.18-Mai!G62*0.18</f>
        <v>0</v>
      </c>
      <c r="H11" s="4">
        <f>Mai!G28-Mai!G62</f>
        <v>0</v>
      </c>
      <c r="I11" s="5">
        <f>IFERROR((Mai!G28-Mai!G62)/Mai!G28,0)</f>
        <v>0</v>
      </c>
    </row>
    <row r="12" spans="1:9" ht="19.5" customHeight="1" x14ac:dyDescent="0.25">
      <c r="A12" s="6">
        <v>6</v>
      </c>
      <c r="B12" s="7" t="s">
        <v>16</v>
      </c>
      <c r="C12" s="8">
        <f>Juin!G28</f>
        <v>0</v>
      </c>
      <c r="D12" s="8">
        <f>Juin!I28</f>
        <v>0</v>
      </c>
      <c r="E12" s="8">
        <f>Juin!G62</f>
        <v>0</v>
      </c>
      <c r="F12" s="8">
        <f>Juin!I62</f>
        <v>0</v>
      </c>
      <c r="G12" s="8">
        <f>Juin!G28*0.18-Juin!G62*0.18</f>
        <v>0</v>
      </c>
      <c r="H12" s="8">
        <f>Juin!G28-Juin!G62</f>
        <v>0</v>
      </c>
      <c r="I12" s="9">
        <f>IFERROR((Juin!G28-Juin!G62)/Juin!G28,0)</f>
        <v>0</v>
      </c>
    </row>
    <row r="13" spans="1:9" ht="19.5" customHeight="1" x14ac:dyDescent="0.25">
      <c r="A13" s="2">
        <v>7</v>
      </c>
      <c r="B13" s="3" t="s">
        <v>17</v>
      </c>
      <c r="C13" s="4">
        <f>Juillet!G28</f>
        <v>0</v>
      </c>
      <c r="D13" s="4">
        <f>Juillet!I28</f>
        <v>0</v>
      </c>
      <c r="E13" s="4">
        <f>Juillet!G62</f>
        <v>0</v>
      </c>
      <c r="F13" s="4">
        <f>Juillet!I62</f>
        <v>0</v>
      </c>
      <c r="G13" s="4">
        <f>Juillet!G28*0.18-Juillet!G62*0.18</f>
        <v>0</v>
      </c>
      <c r="H13" s="4">
        <f>Juillet!G28-Juillet!G62</f>
        <v>0</v>
      </c>
      <c r="I13" s="5">
        <f>IFERROR((Juillet!G28-Juillet!G62)/Juillet!G28,0)</f>
        <v>0</v>
      </c>
    </row>
    <row r="14" spans="1:9" ht="19.5" customHeight="1" x14ac:dyDescent="0.25">
      <c r="A14" s="6">
        <v>8</v>
      </c>
      <c r="B14" s="7" t="s">
        <v>18</v>
      </c>
      <c r="C14" s="8">
        <f>Aout!G28</f>
        <v>0</v>
      </c>
      <c r="D14" s="8">
        <f>Aout!I28</f>
        <v>0</v>
      </c>
      <c r="E14" s="8">
        <f>Aout!G62</f>
        <v>0</v>
      </c>
      <c r="F14" s="8">
        <f>Aout!I62</f>
        <v>0</v>
      </c>
      <c r="G14" s="8">
        <f>Aout!G28*0.18-Aout!G62*0.18</f>
        <v>0</v>
      </c>
      <c r="H14" s="8">
        <f>Aout!G28-Aout!G62</f>
        <v>0</v>
      </c>
      <c r="I14" s="9">
        <f>IFERROR((Aout!G28-Aout!G62)/Aout!G28,0)</f>
        <v>0</v>
      </c>
    </row>
    <row r="15" spans="1:9" ht="19.5" customHeight="1" x14ac:dyDescent="0.25">
      <c r="A15" s="2">
        <v>9</v>
      </c>
      <c r="B15" s="3" t="s">
        <v>19</v>
      </c>
      <c r="C15" s="4">
        <f>Septembre!G28</f>
        <v>0</v>
      </c>
      <c r="D15" s="4">
        <f>Septembre!I28</f>
        <v>0</v>
      </c>
      <c r="E15" s="4">
        <f>Septembre!G62</f>
        <v>0</v>
      </c>
      <c r="F15" s="4">
        <f>Septembre!I62</f>
        <v>0</v>
      </c>
      <c r="G15" s="4">
        <f>Septembre!G28*0.18-Septembre!G62*0.18</f>
        <v>0</v>
      </c>
      <c r="H15" s="4">
        <f>Septembre!G28-Septembre!G62</f>
        <v>0</v>
      </c>
      <c r="I15" s="5">
        <f>IFERROR((Septembre!G28-Septembre!G62)/Septembre!G28,0)</f>
        <v>0</v>
      </c>
    </row>
    <row r="16" spans="1:9" ht="19.5" customHeight="1" x14ac:dyDescent="0.25">
      <c r="A16" s="6">
        <v>10</v>
      </c>
      <c r="B16" s="7" t="s">
        <v>20</v>
      </c>
      <c r="C16" s="8">
        <f>Octobre!G28</f>
        <v>0</v>
      </c>
      <c r="D16" s="8">
        <f>Octobre!I28</f>
        <v>0</v>
      </c>
      <c r="E16" s="8">
        <f>Octobre!G62</f>
        <v>0</v>
      </c>
      <c r="F16" s="8">
        <f>Octobre!I62</f>
        <v>0</v>
      </c>
      <c r="G16" s="8">
        <f>Octobre!G28*0.18-Octobre!G62*0.18</f>
        <v>0</v>
      </c>
      <c r="H16" s="8">
        <f>Octobre!G28-Octobre!G62</f>
        <v>0</v>
      </c>
      <c r="I16" s="9">
        <f>IFERROR((Octobre!G28-Octobre!G62)/Octobre!G28,0)</f>
        <v>0</v>
      </c>
    </row>
    <row r="17" spans="1:9" ht="19.5" customHeight="1" x14ac:dyDescent="0.25">
      <c r="A17" s="2">
        <v>11</v>
      </c>
      <c r="B17" s="3" t="s">
        <v>21</v>
      </c>
      <c r="C17" s="4">
        <f>Novembre!G28</f>
        <v>0</v>
      </c>
      <c r="D17" s="4">
        <f>Novembre!I28</f>
        <v>0</v>
      </c>
      <c r="E17" s="4">
        <f>Novembre!G62</f>
        <v>0</v>
      </c>
      <c r="F17" s="4">
        <f>Novembre!I62</f>
        <v>0</v>
      </c>
      <c r="G17" s="4">
        <f>Novembre!G28*0.18-Novembre!G62*0.18</f>
        <v>0</v>
      </c>
      <c r="H17" s="4">
        <f>Novembre!G28-Novembre!G62</f>
        <v>0</v>
      </c>
      <c r="I17" s="5">
        <f>IFERROR((Novembre!G28-Novembre!G62)/Novembre!G28,0)</f>
        <v>0</v>
      </c>
    </row>
    <row r="18" spans="1:9" ht="19.5" customHeight="1" x14ac:dyDescent="0.25">
      <c r="A18" s="6">
        <v>12</v>
      </c>
      <c r="B18" s="7" t="s">
        <v>22</v>
      </c>
      <c r="C18" s="8">
        <f>Decembre!G28</f>
        <v>0</v>
      </c>
      <c r="D18" s="8">
        <f>Decembre!I28</f>
        <v>0</v>
      </c>
      <c r="E18" s="8">
        <f>Decembre!G62</f>
        <v>0</v>
      </c>
      <c r="F18" s="8">
        <f>Decembre!I62</f>
        <v>0</v>
      </c>
      <c r="G18" s="8">
        <f>Decembre!G28*0.18-Decembre!G62*0.18</f>
        <v>0</v>
      </c>
      <c r="H18" s="8">
        <f>Decembre!G28-Decembre!G62</f>
        <v>0</v>
      </c>
      <c r="I18" s="9">
        <f>IFERROR((Decembre!G28-Decembre!G62)/Decembre!G28,0)</f>
        <v>0</v>
      </c>
    </row>
    <row r="19" spans="1:9" ht="24" customHeight="1" x14ac:dyDescent="0.25">
      <c r="A19" s="94" t="s">
        <v>23</v>
      </c>
      <c r="B19" s="94"/>
      <c r="C19" s="10">
        <f t="shared" ref="C19:H19" si="0">SUM(C7:C18)</f>
        <v>0</v>
      </c>
      <c r="D19" s="10">
        <f t="shared" si="0"/>
        <v>0</v>
      </c>
      <c r="E19" s="11">
        <f t="shared" si="0"/>
        <v>2365595</v>
      </c>
      <c r="F19" s="11">
        <f t="shared" si="0"/>
        <v>7894108.5</v>
      </c>
      <c r="G19" s="12">
        <f t="shared" si="0"/>
        <v>-425807.1</v>
      </c>
      <c r="H19" s="13">
        <f t="shared" si="0"/>
        <v>-2365595</v>
      </c>
      <c r="I19" s="14">
        <f>IFERROR(H19/C19,0)</f>
        <v>0</v>
      </c>
    </row>
    <row r="22" spans="1:9" ht="19.5" customHeight="1" x14ac:dyDescent="0.25">
      <c r="A22" s="95" t="s">
        <v>24</v>
      </c>
      <c r="B22" s="95"/>
      <c r="C22" s="95"/>
      <c r="D22" s="95"/>
      <c r="E22" s="95"/>
      <c r="F22" s="95"/>
      <c r="G22" s="95"/>
      <c r="H22" s="95"/>
      <c r="I22" s="95"/>
    </row>
    <row r="23" spans="1:9" ht="19.5" customHeight="1" x14ac:dyDescent="0.25">
      <c r="A23" s="85" t="s">
        <v>25</v>
      </c>
      <c r="B23" s="85"/>
      <c r="C23" s="85"/>
      <c r="D23" s="85"/>
      <c r="E23" s="85"/>
      <c r="F23" s="91" t="str">
        <f>INDEX(B7:B18,MATCH(MAX(C7:C18),C7:C18,0))</f>
        <v>Janvier</v>
      </c>
      <c r="G23" s="91"/>
      <c r="H23" s="91"/>
      <c r="I23" s="91"/>
    </row>
    <row r="24" spans="1:9" ht="19.5" customHeight="1" x14ac:dyDescent="0.25">
      <c r="A24" s="83" t="s">
        <v>26</v>
      </c>
      <c r="B24" s="83"/>
      <c r="C24" s="83"/>
      <c r="D24" s="83"/>
      <c r="E24" s="83"/>
      <c r="F24" s="92" t="str">
        <f>INDEX(B7:B18,MATCH(MAX(E7:E18),E7:E18,0))</f>
        <v>Janvier</v>
      </c>
      <c r="G24" s="92"/>
      <c r="H24" s="92"/>
      <c r="I24" s="92"/>
    </row>
    <row r="25" spans="1:9" ht="19.5" customHeight="1" x14ac:dyDescent="0.25">
      <c r="A25" s="85" t="s">
        <v>27</v>
      </c>
      <c r="B25" s="85"/>
      <c r="C25" s="85"/>
      <c r="D25" s="85"/>
      <c r="E25" s="85"/>
      <c r="F25" s="88">
        <f>AVERAGE(C7:C18)</f>
        <v>0</v>
      </c>
      <c r="G25" s="88"/>
      <c r="H25" s="88"/>
      <c r="I25" s="88"/>
    </row>
    <row r="26" spans="1:9" ht="19.5" customHeight="1" x14ac:dyDescent="0.25">
      <c r="A26" s="83" t="s">
        <v>28</v>
      </c>
      <c r="B26" s="83"/>
      <c r="C26" s="83"/>
      <c r="D26" s="83"/>
      <c r="E26" s="83"/>
      <c r="F26" s="89">
        <f>AVERAGE(E7:E18)</f>
        <v>197132.91666666666</v>
      </c>
      <c r="G26" s="89"/>
      <c r="H26" s="89"/>
      <c r="I26" s="89"/>
    </row>
    <row r="27" spans="1:9" ht="19.5" customHeight="1" x14ac:dyDescent="0.25">
      <c r="A27" s="85" t="s">
        <v>29</v>
      </c>
      <c r="B27" s="85"/>
      <c r="C27" s="85"/>
      <c r="D27" s="85"/>
      <c r="E27" s="85"/>
      <c r="F27" s="88">
        <f>C19*0.18</f>
        <v>0</v>
      </c>
      <c r="G27" s="88"/>
      <c r="H27" s="88"/>
      <c r="I27" s="88"/>
    </row>
    <row r="28" spans="1:9" ht="19.5" customHeight="1" x14ac:dyDescent="0.25">
      <c r="A28" s="83" t="s">
        <v>30</v>
      </c>
      <c r="B28" s="83"/>
      <c r="C28" s="83"/>
      <c r="D28" s="83"/>
      <c r="E28" s="83"/>
      <c r="F28" s="89">
        <f>E19*0.18</f>
        <v>425807.1</v>
      </c>
      <c r="G28" s="89"/>
      <c r="H28" s="89"/>
      <c r="I28" s="89"/>
    </row>
    <row r="29" spans="1:9" ht="19.5" customHeight="1" x14ac:dyDescent="0.25">
      <c r="A29" s="85" t="s">
        <v>31</v>
      </c>
      <c r="B29" s="85"/>
      <c r="C29" s="85"/>
      <c r="D29" s="85"/>
      <c r="E29" s="85"/>
      <c r="F29" s="88">
        <f>G19</f>
        <v>-425807.1</v>
      </c>
      <c r="G29" s="88"/>
      <c r="H29" s="88"/>
      <c r="I29" s="88"/>
    </row>
    <row r="30" spans="1:9" ht="19.5" customHeight="1" x14ac:dyDescent="0.25">
      <c r="A30" s="83" t="s">
        <v>32</v>
      </c>
      <c r="B30" s="83"/>
      <c r="C30" s="83"/>
      <c r="D30" s="83"/>
      <c r="E30" s="83"/>
      <c r="F30" s="89">
        <f>H19</f>
        <v>-2365595</v>
      </c>
      <c r="G30" s="89"/>
      <c r="H30" s="89"/>
      <c r="I30" s="89"/>
    </row>
    <row r="31" spans="1:9" ht="19.5" customHeight="1" x14ac:dyDescent="0.25">
      <c r="A31" s="85" t="s">
        <v>33</v>
      </c>
      <c r="B31" s="85"/>
      <c r="C31" s="85"/>
      <c r="D31" s="85"/>
      <c r="E31" s="85"/>
      <c r="F31" s="90">
        <f>I19</f>
        <v>0</v>
      </c>
      <c r="G31" s="90"/>
      <c r="H31" s="90"/>
      <c r="I31" s="90"/>
    </row>
    <row r="32" spans="1:9" ht="19.5" customHeight="1" x14ac:dyDescent="0.25">
      <c r="A32" s="83" t="s">
        <v>34</v>
      </c>
      <c r="B32" s="83"/>
      <c r="C32" s="83"/>
      <c r="D32" s="83"/>
      <c r="E32" s="83"/>
      <c r="F32" s="84">
        <f>COUNTIF(H7:H18,"&gt;0")</f>
        <v>0</v>
      </c>
      <c r="G32" s="84"/>
      <c r="H32" s="84"/>
      <c r="I32" s="84"/>
    </row>
    <row r="33" spans="1:9" ht="19.5" customHeight="1" x14ac:dyDescent="0.25">
      <c r="A33" s="85" t="s">
        <v>35</v>
      </c>
      <c r="B33" s="85"/>
      <c r="C33" s="85"/>
      <c r="D33" s="85"/>
      <c r="E33" s="85"/>
      <c r="F33" s="86">
        <f>COUNTIF(H7:H18,"&lt;0")</f>
        <v>4</v>
      </c>
      <c r="G33" s="86"/>
      <c r="H33" s="86"/>
      <c r="I33" s="86"/>
    </row>
    <row r="36" spans="1:9" ht="19.5" customHeight="1" x14ac:dyDescent="0.25">
      <c r="A36" s="87" t="s">
        <v>36</v>
      </c>
      <c r="B36" s="87"/>
      <c r="C36" s="87"/>
      <c r="D36" s="87"/>
      <c r="E36" s="87"/>
      <c r="F36" s="87"/>
      <c r="G36" s="87"/>
      <c r="H36" s="87"/>
      <c r="I36" s="87"/>
    </row>
    <row r="37" spans="1:9" ht="18" customHeight="1" x14ac:dyDescent="0.25">
      <c r="A37" s="44" t="s">
        <v>37</v>
      </c>
      <c r="B37" s="44"/>
      <c r="C37" s="62" t="s">
        <v>38</v>
      </c>
      <c r="D37" s="62"/>
      <c r="E37" s="62"/>
      <c r="F37" s="62"/>
      <c r="G37" s="62"/>
      <c r="H37" s="62"/>
      <c r="I37" s="62"/>
    </row>
    <row r="38" spans="1:9" ht="18" customHeight="1" x14ac:dyDescent="0.25">
      <c r="A38" s="44" t="s">
        <v>39</v>
      </c>
      <c r="B38" s="44"/>
      <c r="C38" s="82" t="s">
        <v>40</v>
      </c>
      <c r="D38" s="82"/>
      <c r="E38" s="82"/>
      <c r="F38" s="82"/>
      <c r="G38" s="82"/>
      <c r="H38" s="82"/>
      <c r="I38" s="82"/>
    </row>
    <row r="39" spans="1:9" ht="18" customHeight="1" x14ac:dyDescent="0.25">
      <c r="A39" s="44" t="s">
        <v>41</v>
      </c>
      <c r="B39" s="44"/>
      <c r="C39" s="62" t="s">
        <v>42</v>
      </c>
      <c r="D39" s="62"/>
      <c r="E39" s="62"/>
      <c r="F39" s="62"/>
      <c r="G39" s="62"/>
      <c r="H39" s="62"/>
      <c r="I39" s="62"/>
    </row>
    <row r="40" spans="1:9" ht="18" customHeight="1" x14ac:dyDescent="0.25">
      <c r="A40" s="44" t="s">
        <v>43</v>
      </c>
      <c r="B40" s="44"/>
      <c r="C40" s="82" t="s">
        <v>44</v>
      </c>
      <c r="D40" s="82"/>
      <c r="E40" s="82"/>
      <c r="F40" s="82"/>
      <c r="G40" s="82"/>
      <c r="H40" s="82"/>
      <c r="I40" s="82"/>
    </row>
    <row r="41" spans="1:9" ht="18" customHeight="1" x14ac:dyDescent="0.25">
      <c r="A41" s="44" t="s">
        <v>45</v>
      </c>
      <c r="B41" s="44"/>
      <c r="C41" s="62" t="s">
        <v>46</v>
      </c>
      <c r="D41" s="62"/>
      <c r="E41" s="62"/>
      <c r="F41" s="62"/>
      <c r="G41" s="62"/>
      <c r="H41" s="62"/>
      <c r="I41" s="62"/>
    </row>
    <row r="42" spans="1:9" ht="18" customHeight="1" x14ac:dyDescent="0.25">
      <c r="A42" s="44" t="s">
        <v>47</v>
      </c>
      <c r="B42" s="44"/>
      <c r="C42" s="82" t="s">
        <v>48</v>
      </c>
      <c r="D42" s="82"/>
      <c r="E42" s="82"/>
      <c r="F42" s="82"/>
      <c r="G42" s="82"/>
      <c r="H42" s="82"/>
      <c r="I42" s="82"/>
    </row>
    <row r="43" spans="1:9" ht="18" customHeight="1" x14ac:dyDescent="0.25">
      <c r="A43" s="44" t="s">
        <v>49</v>
      </c>
      <c r="B43" s="44"/>
      <c r="C43" s="62" t="s">
        <v>50</v>
      </c>
      <c r="D43" s="62"/>
      <c r="E43" s="62"/>
      <c r="F43" s="62"/>
      <c r="G43" s="62"/>
      <c r="H43" s="62"/>
      <c r="I43" s="62"/>
    </row>
    <row r="44" spans="1:9" ht="18" customHeight="1" x14ac:dyDescent="0.25">
      <c r="A44" s="44" t="s">
        <v>51</v>
      </c>
      <c r="B44" s="44"/>
      <c r="C44" s="82" t="s">
        <v>52</v>
      </c>
      <c r="D44" s="82"/>
      <c r="E44" s="82"/>
      <c r="F44" s="82"/>
      <c r="G44" s="82"/>
      <c r="H44" s="82"/>
      <c r="I44" s="82"/>
    </row>
    <row r="45" spans="1:9" ht="18" customHeight="1" x14ac:dyDescent="0.25">
      <c r="A45" s="44" t="s">
        <v>53</v>
      </c>
      <c r="B45" s="44"/>
      <c r="C45" s="62" t="s">
        <v>54</v>
      </c>
      <c r="D45" s="62"/>
      <c r="E45" s="62"/>
      <c r="F45" s="62"/>
      <c r="G45" s="62"/>
      <c r="H45" s="62"/>
      <c r="I45" s="62"/>
    </row>
    <row r="46" spans="1:9" ht="18" customHeight="1" x14ac:dyDescent="0.25">
      <c r="A46" s="44" t="s">
        <v>55</v>
      </c>
      <c r="B46" s="44"/>
      <c r="C46" s="82" t="s">
        <v>56</v>
      </c>
      <c r="D46" s="82"/>
      <c r="E46" s="82"/>
      <c r="F46" s="82"/>
      <c r="G46" s="82"/>
      <c r="H46" s="82"/>
      <c r="I46" s="82"/>
    </row>
  </sheetData>
  <mergeCells count="48">
    <mergeCell ref="A1:I1"/>
    <mergeCell ref="A2:I2"/>
    <mergeCell ref="A4:I4"/>
    <mergeCell ref="A19:B19"/>
    <mergeCell ref="A22:I22"/>
    <mergeCell ref="A23:E23"/>
    <mergeCell ref="F23:I23"/>
    <mergeCell ref="A24:E24"/>
    <mergeCell ref="F24:I24"/>
    <mergeCell ref="A25:E25"/>
    <mergeCell ref="F25:I25"/>
    <mergeCell ref="A26:E26"/>
    <mergeCell ref="F26:I26"/>
    <mergeCell ref="A27:E27"/>
    <mergeCell ref="F27:I27"/>
    <mergeCell ref="A28:E28"/>
    <mergeCell ref="F28:I28"/>
    <mergeCell ref="A29:E29"/>
    <mergeCell ref="F29:I29"/>
    <mergeCell ref="A30:E30"/>
    <mergeCell ref="F30:I30"/>
    <mergeCell ref="A31:E31"/>
    <mergeCell ref="F31:I31"/>
    <mergeCell ref="A32:E32"/>
    <mergeCell ref="F32:I32"/>
    <mergeCell ref="A33:E33"/>
    <mergeCell ref="F33:I33"/>
    <mergeCell ref="A36:I36"/>
    <mergeCell ref="A37:B37"/>
    <mergeCell ref="C37:I37"/>
    <mergeCell ref="A38:B38"/>
    <mergeCell ref="C38:I38"/>
    <mergeCell ref="A39:B39"/>
    <mergeCell ref="C39:I39"/>
    <mergeCell ref="A40:B40"/>
    <mergeCell ref="C40:I40"/>
    <mergeCell ref="A41:B41"/>
    <mergeCell ref="C41:I41"/>
    <mergeCell ref="A42:B42"/>
    <mergeCell ref="C42:I42"/>
    <mergeCell ref="A46:B46"/>
    <mergeCell ref="C46:I46"/>
    <mergeCell ref="A43:B43"/>
    <mergeCell ref="C43:I43"/>
    <mergeCell ref="A44:B44"/>
    <mergeCell ref="C44:I44"/>
    <mergeCell ref="A45:B45"/>
    <mergeCell ref="C45:I4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zoomScaleNormal="100" workbookViewId="0">
      <pane ySplit="9" topLeftCell="A37" activePane="bottomLeft" state="frozen"/>
      <selection pane="bottomLeft" activeCell="J52" sqref="J52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57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>IF(G10="","-",G10*$E$6)</f>
        <v>-</v>
      </c>
      <c r="I10" s="20" t="str">
        <f t="shared" ref="I10:I27" si="0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>IF(G11="","-",G11*$E$6)</f>
        <v>-</v>
      </c>
      <c r="I11" s="25" t="str">
        <f t="shared" si="0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ref="H12:H27" si="1">IF(G12="","-",G12*$E$6)</f>
        <v>-</v>
      </c>
      <c r="I12" s="20" t="str">
        <f t="shared" si="0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1"/>
        <v>-</v>
      </c>
      <c r="I13" s="25" t="str">
        <f t="shared" si="0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1"/>
        <v>-</v>
      </c>
      <c r="I14" s="20" t="str">
        <f t="shared" si="0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1"/>
        <v>-</v>
      </c>
      <c r="I15" s="25" t="str">
        <f t="shared" si="0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1"/>
        <v>-</v>
      </c>
      <c r="I16" s="20" t="str">
        <f t="shared" si="0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1"/>
        <v>-</v>
      </c>
      <c r="I17" s="25" t="str">
        <f t="shared" si="0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1"/>
        <v>-</v>
      </c>
      <c r="I18" s="20" t="str">
        <f t="shared" si="0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1"/>
        <v>-</v>
      </c>
      <c r="I19" s="25" t="str">
        <f t="shared" si="0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1"/>
        <v>-</v>
      </c>
      <c r="I20" s="20" t="str">
        <f t="shared" si="0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1"/>
        <v>-</v>
      </c>
      <c r="I21" s="25" t="str">
        <f t="shared" si="0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1"/>
        <v>-</v>
      </c>
      <c r="I22" s="20" t="str">
        <f t="shared" si="0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1"/>
        <v>-</v>
      </c>
      <c r="I23" s="25" t="str">
        <f t="shared" si="0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1"/>
        <v>-</v>
      </c>
      <c r="I24" s="20" t="str">
        <f t="shared" si="0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1"/>
        <v>-</v>
      </c>
      <c r="I25" s="25" t="str">
        <f t="shared" si="0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1"/>
        <v>-</v>
      </c>
      <c r="I26" s="20" t="str">
        <f t="shared" si="0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1"/>
        <v>-</v>
      </c>
      <c r="I27" s="25" t="str">
        <f t="shared" si="0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>
        <v>46027</v>
      </c>
      <c r="C44" s="18" t="s">
        <v>163</v>
      </c>
      <c r="D44" s="18" t="s">
        <v>164</v>
      </c>
      <c r="E44" s="18" t="s">
        <v>93</v>
      </c>
      <c r="F44" s="18"/>
      <c r="G44" s="19"/>
      <c r="H44" s="20" t="str">
        <f t="shared" ref="H44:H61" si="2">IF(G44="","-",G44*$E$6)</f>
        <v>-</v>
      </c>
      <c r="I44" s="20">
        <v>1409</v>
      </c>
      <c r="J44" s="18" t="s">
        <v>135</v>
      </c>
    </row>
    <row r="45" spans="1:10" ht="18" customHeight="1" x14ac:dyDescent="0.25">
      <c r="A45" s="34">
        <v>2</v>
      </c>
      <c r="B45" s="35">
        <v>46049</v>
      </c>
      <c r="C45" s="36" t="s">
        <v>165</v>
      </c>
      <c r="D45" s="36" t="s">
        <v>166</v>
      </c>
      <c r="E45" s="36" t="s">
        <v>94</v>
      </c>
      <c r="F45" s="36"/>
      <c r="G45" s="37">
        <v>794406</v>
      </c>
      <c r="H45" s="38">
        <f t="shared" si="2"/>
        <v>142993.07999999999</v>
      </c>
      <c r="I45" s="38">
        <f t="shared" ref="I44:I61" si="3">IF(G45="","-",G45+H45)</f>
        <v>937399.08</v>
      </c>
      <c r="J45" s="36" t="s">
        <v>135</v>
      </c>
    </row>
    <row r="46" spans="1:10" ht="18" customHeight="1" x14ac:dyDescent="0.25">
      <c r="A46" s="2">
        <v>3</v>
      </c>
      <c r="B46" s="17">
        <v>46024</v>
      </c>
      <c r="C46" s="18" t="s">
        <v>173</v>
      </c>
      <c r="D46" s="18" t="s">
        <v>172</v>
      </c>
      <c r="E46" s="18" t="s">
        <v>96</v>
      </c>
      <c r="F46" s="18"/>
      <c r="G46" s="19"/>
      <c r="H46" s="20" t="str">
        <f t="shared" si="2"/>
        <v>-</v>
      </c>
      <c r="I46" s="20">
        <v>148000</v>
      </c>
      <c r="J46" s="18" t="s">
        <v>135</v>
      </c>
    </row>
    <row r="47" spans="1:10" ht="18" customHeight="1" x14ac:dyDescent="0.25">
      <c r="A47" s="34">
        <v>4</v>
      </c>
      <c r="B47" s="35">
        <v>46033</v>
      </c>
      <c r="C47" s="36" t="s">
        <v>196</v>
      </c>
      <c r="D47" s="36" t="s">
        <v>197</v>
      </c>
      <c r="E47" s="36" t="s">
        <v>104</v>
      </c>
      <c r="F47" s="36"/>
      <c r="G47" s="37"/>
      <c r="H47" s="38" t="str">
        <f t="shared" si="2"/>
        <v>-</v>
      </c>
      <c r="I47" s="38">
        <v>6000</v>
      </c>
      <c r="J47" s="36" t="s">
        <v>135</v>
      </c>
    </row>
    <row r="48" spans="1:10" ht="18" customHeight="1" x14ac:dyDescent="0.25">
      <c r="A48" s="2">
        <v>5</v>
      </c>
      <c r="B48" s="17">
        <v>46024</v>
      </c>
      <c r="C48" s="18" t="s">
        <v>198</v>
      </c>
      <c r="D48" s="18" t="s">
        <v>199</v>
      </c>
      <c r="E48" s="18" t="s">
        <v>93</v>
      </c>
      <c r="F48" s="18"/>
      <c r="G48" s="19"/>
      <c r="H48" s="20" t="str">
        <f t="shared" si="2"/>
        <v>-</v>
      </c>
      <c r="I48" s="20">
        <v>120000</v>
      </c>
      <c r="J48" s="18" t="s">
        <v>187</v>
      </c>
    </row>
    <row r="49" spans="1:10" ht="18" customHeight="1" x14ac:dyDescent="0.25">
      <c r="A49" s="34">
        <v>6</v>
      </c>
      <c r="B49" s="35">
        <v>46023</v>
      </c>
      <c r="C49" s="36" t="s">
        <v>205</v>
      </c>
      <c r="D49" s="36" t="s">
        <v>206</v>
      </c>
      <c r="E49" s="36" t="s">
        <v>95</v>
      </c>
      <c r="F49" s="36"/>
      <c r="G49" s="37"/>
      <c r="H49" s="38" t="str">
        <f t="shared" si="2"/>
        <v>-</v>
      </c>
      <c r="I49" s="38">
        <v>500000</v>
      </c>
      <c r="J49" s="36" t="s">
        <v>135</v>
      </c>
    </row>
    <row r="50" spans="1:10" ht="18" customHeight="1" x14ac:dyDescent="0.25">
      <c r="A50" s="2">
        <v>7</v>
      </c>
      <c r="B50" s="17">
        <v>45931</v>
      </c>
      <c r="C50" s="18" t="s">
        <v>207</v>
      </c>
      <c r="D50" s="18" t="s">
        <v>208</v>
      </c>
      <c r="E50" s="18" t="s">
        <v>92</v>
      </c>
      <c r="F50" s="18"/>
      <c r="G50" s="19"/>
      <c r="H50" s="20" t="str">
        <f t="shared" si="2"/>
        <v>-</v>
      </c>
      <c r="I50" s="20">
        <v>2000</v>
      </c>
      <c r="J50" s="18" t="s">
        <v>135</v>
      </c>
    </row>
    <row r="51" spans="1:10" ht="18" customHeight="1" x14ac:dyDescent="0.25">
      <c r="A51" s="34">
        <v>8</v>
      </c>
      <c r="B51" s="35">
        <v>46027</v>
      </c>
      <c r="C51" s="36" t="s">
        <v>209</v>
      </c>
      <c r="D51" s="36" t="s">
        <v>134</v>
      </c>
      <c r="E51" s="36" t="s">
        <v>93</v>
      </c>
      <c r="F51" s="36"/>
      <c r="G51" s="37"/>
      <c r="H51" s="38" t="str">
        <f t="shared" si="2"/>
        <v>-</v>
      </c>
      <c r="I51" s="38">
        <v>5868</v>
      </c>
      <c r="J51" s="36" t="s">
        <v>135</v>
      </c>
    </row>
    <row r="52" spans="1:10" ht="18" customHeight="1" x14ac:dyDescent="0.25">
      <c r="A52" s="2">
        <v>9</v>
      </c>
      <c r="B52" s="17">
        <v>46027</v>
      </c>
      <c r="C52" s="18" t="s">
        <v>210</v>
      </c>
      <c r="D52" s="18" t="s">
        <v>134</v>
      </c>
      <c r="E52" s="18" t="s">
        <v>93</v>
      </c>
      <c r="F52" s="18"/>
      <c r="G52" s="19"/>
      <c r="H52" s="20" t="str">
        <f t="shared" si="2"/>
        <v>-</v>
      </c>
      <c r="I52" s="20">
        <v>11800</v>
      </c>
      <c r="J52" s="18" t="s">
        <v>135</v>
      </c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794406</v>
      </c>
      <c r="H62" s="39">
        <f>SUM(H44:H61)</f>
        <v>142993.07999999999</v>
      </c>
      <c r="I62" s="39">
        <f>SUM(I44:I61)</f>
        <v>1732476.08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1</v>
      </c>
      <c r="F66" s="65">
        <f>SUMIF(E44:E61,A66,G44:G61)</f>
        <v>0</v>
      </c>
      <c r="G66" s="65"/>
      <c r="H66" s="65">
        <f>SUMIF(E44:E61,A66,I44:I61)</f>
        <v>2000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4</v>
      </c>
      <c r="F67" s="63">
        <f>SUMIF(E44:E61,A67,G44:G61)</f>
        <v>0</v>
      </c>
      <c r="G67" s="63"/>
      <c r="H67" s="63">
        <f>SUMIF(E44:E61,A67,I44:I61)</f>
        <v>139077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1</v>
      </c>
      <c r="F68" s="65">
        <f>SUMIF(E44:E61,A68,G44:G61)</f>
        <v>794406</v>
      </c>
      <c r="G68" s="65"/>
      <c r="H68" s="65">
        <f>SUMIF(E44:E61,A68,I44:I61)</f>
        <v>937399.08</v>
      </c>
      <c r="I68" s="65"/>
      <c r="J68" s="43">
        <f>IFERROR(F68/G62,0)</f>
        <v>1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1</v>
      </c>
      <c r="F69" s="63">
        <f>SUMIF(E44:E61,A69,G44:G61)</f>
        <v>0</v>
      </c>
      <c r="G69" s="63"/>
      <c r="H69" s="63">
        <f>SUMIF(E44:E61,A69,I44:I61)</f>
        <v>500000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1</v>
      </c>
      <c r="F70" s="65">
        <f>SUMIF(E44:E61,A70,G44:G61)</f>
        <v>0</v>
      </c>
      <c r="G70" s="65"/>
      <c r="H70" s="65">
        <f>SUMIF(E44:E61,A70,I44:I61)</f>
        <v>148000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1</v>
      </c>
      <c r="F78" s="65">
        <f>SUMIF(E44:E61,A78,G44:G61)</f>
        <v>0</v>
      </c>
      <c r="G78" s="65"/>
      <c r="H78" s="65">
        <f>SUMIF(E44:E61,A78,I44:I61)</f>
        <v>6000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794406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1732476.08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142993.07999999999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-142993.07999999999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-794406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-1732476.08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DEFICIT  -  Action requise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1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100-000001000000}">
      <formula1>"EMISE,PAYEE,EN ATTENTE,ANNULEE,LITIGIEUSE"</formula1>
      <formula2>0</formula2>
    </dataValidation>
    <dataValidation type="list" allowBlank="1" sqref="E44:E61" xr:uid="{00000000-0002-0000-01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"/>
  <sheetViews>
    <sheetView zoomScaleNormal="100" workbookViewId="0">
      <pane ySplit="9" topLeftCell="A53" activePane="bottomLeft" state="frozen"/>
      <selection pane="bottomLeft" activeCell="J67" sqref="J67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>
        <v>46071</v>
      </c>
      <c r="C44" s="18" t="s">
        <v>167</v>
      </c>
      <c r="D44" s="18" t="s">
        <v>168</v>
      </c>
      <c r="E44" s="18" t="s">
        <v>94</v>
      </c>
      <c r="F44" s="18"/>
      <c r="G44" s="19"/>
      <c r="H44" s="20" t="str">
        <f t="shared" ref="H44:H69" si="2">IF(G44="","-",G44*$E$6)</f>
        <v>-</v>
      </c>
      <c r="I44" s="20">
        <v>230000</v>
      </c>
      <c r="J44" s="18" t="s">
        <v>135</v>
      </c>
    </row>
    <row r="45" spans="1:10" ht="18" customHeight="1" x14ac:dyDescent="0.25">
      <c r="A45" s="34">
        <v>2</v>
      </c>
      <c r="B45" s="35">
        <v>46069</v>
      </c>
      <c r="C45" s="36" t="s">
        <v>169</v>
      </c>
      <c r="D45" s="36" t="s">
        <v>170</v>
      </c>
      <c r="E45" s="36" t="s">
        <v>94</v>
      </c>
      <c r="F45" s="36"/>
      <c r="G45" s="37"/>
      <c r="H45" s="38" t="str">
        <f t="shared" si="2"/>
        <v>-</v>
      </c>
      <c r="I45" s="38">
        <v>280000</v>
      </c>
      <c r="J45" s="36" t="s">
        <v>135</v>
      </c>
    </row>
    <row r="46" spans="1:10" ht="18" customHeight="1" x14ac:dyDescent="0.25">
      <c r="A46" s="2">
        <v>3</v>
      </c>
      <c r="B46" s="17">
        <v>46069</v>
      </c>
      <c r="C46" s="18"/>
      <c r="D46" s="18"/>
      <c r="E46" s="18" t="s">
        <v>94</v>
      </c>
      <c r="F46" s="18"/>
      <c r="G46" s="19"/>
      <c r="H46" s="20" t="str">
        <f t="shared" si="2"/>
        <v>-</v>
      </c>
      <c r="I46" s="20">
        <v>60000</v>
      </c>
      <c r="J46" s="18" t="s">
        <v>135</v>
      </c>
    </row>
    <row r="47" spans="1:10" ht="18" customHeight="1" x14ac:dyDescent="0.25">
      <c r="A47" s="34">
        <v>4</v>
      </c>
      <c r="B47" s="35">
        <v>46066</v>
      </c>
      <c r="C47" s="36" t="s">
        <v>171</v>
      </c>
      <c r="D47" s="36" t="s">
        <v>172</v>
      </c>
      <c r="E47" s="36" t="s">
        <v>97</v>
      </c>
      <c r="F47" s="36"/>
      <c r="G47" s="37"/>
      <c r="H47" s="38" t="str">
        <f t="shared" si="2"/>
        <v>-</v>
      </c>
      <c r="I47" s="38">
        <v>12000</v>
      </c>
      <c r="J47" s="36" t="s">
        <v>135</v>
      </c>
    </row>
    <row r="48" spans="1:10" ht="18" customHeight="1" x14ac:dyDescent="0.25">
      <c r="A48" s="2">
        <v>5</v>
      </c>
      <c r="B48" s="17">
        <v>46069</v>
      </c>
      <c r="C48" s="18"/>
      <c r="D48" s="18"/>
      <c r="E48" s="18" t="s">
        <v>94</v>
      </c>
      <c r="F48" s="18"/>
      <c r="G48" s="19"/>
      <c r="H48" s="20" t="str">
        <f t="shared" si="2"/>
        <v>-</v>
      </c>
      <c r="I48" s="20">
        <v>120000</v>
      </c>
      <c r="J48" s="18" t="s">
        <v>135</v>
      </c>
    </row>
    <row r="49" spans="1:10" ht="18" customHeight="1" x14ac:dyDescent="0.25">
      <c r="A49" s="34">
        <v>6</v>
      </c>
      <c r="B49" s="35">
        <v>46069</v>
      </c>
      <c r="C49" s="36"/>
      <c r="D49" s="36"/>
      <c r="E49" s="36" t="s">
        <v>94</v>
      </c>
      <c r="F49" s="36"/>
      <c r="G49" s="37"/>
      <c r="H49" s="38" t="str">
        <f t="shared" si="2"/>
        <v>-</v>
      </c>
      <c r="I49" s="38">
        <v>7000</v>
      </c>
      <c r="J49" s="36" t="s">
        <v>135</v>
      </c>
    </row>
    <row r="50" spans="1:10" ht="18" customHeight="1" x14ac:dyDescent="0.25">
      <c r="A50" s="2">
        <v>7</v>
      </c>
      <c r="B50" s="17">
        <v>46067</v>
      </c>
      <c r="C50" s="18" t="s">
        <v>174</v>
      </c>
      <c r="D50" s="18" t="s">
        <v>175</v>
      </c>
      <c r="E50" s="18" t="s">
        <v>94</v>
      </c>
      <c r="F50" s="18"/>
      <c r="G50" s="19">
        <v>203226</v>
      </c>
      <c r="H50" s="20">
        <f t="shared" si="2"/>
        <v>36580.68</v>
      </c>
      <c r="I50" s="20">
        <f t="shared" ref="I50:I55" si="3">IF(G50="","-",G50+H50)</f>
        <v>239806.68</v>
      </c>
      <c r="J50" s="18" t="s">
        <v>135</v>
      </c>
    </row>
    <row r="51" spans="1:10" ht="49.5" customHeight="1" x14ac:dyDescent="0.25">
      <c r="A51" s="34">
        <v>8</v>
      </c>
      <c r="B51" s="35">
        <v>46069</v>
      </c>
      <c r="C51" s="36" t="s">
        <v>177</v>
      </c>
      <c r="D51" s="36" t="s">
        <v>178</v>
      </c>
      <c r="E51" s="36" t="s">
        <v>104</v>
      </c>
      <c r="F51" s="36"/>
      <c r="G51" s="37"/>
      <c r="H51" s="38" t="str">
        <f t="shared" si="2"/>
        <v>-</v>
      </c>
      <c r="I51" s="38">
        <v>10500</v>
      </c>
      <c r="J51" s="36" t="s">
        <v>135</v>
      </c>
    </row>
    <row r="52" spans="1:10" ht="33" customHeight="1" x14ac:dyDescent="0.25">
      <c r="A52" s="2">
        <v>9</v>
      </c>
      <c r="B52" s="17">
        <v>46069</v>
      </c>
      <c r="C52" s="18" t="s">
        <v>179</v>
      </c>
      <c r="D52" s="18" t="s">
        <v>180</v>
      </c>
      <c r="E52" s="18" t="s">
        <v>104</v>
      </c>
      <c r="F52" s="18"/>
      <c r="G52" s="19"/>
      <c r="H52" s="20" t="str">
        <f t="shared" si="2"/>
        <v>-</v>
      </c>
      <c r="I52" s="20">
        <v>2500</v>
      </c>
      <c r="J52" s="18" t="s">
        <v>135</v>
      </c>
    </row>
    <row r="53" spans="1:10" ht="18" customHeight="1" x14ac:dyDescent="0.25">
      <c r="A53" s="34">
        <v>10</v>
      </c>
      <c r="B53" s="35">
        <v>46069</v>
      </c>
      <c r="C53" s="36" t="s">
        <v>181</v>
      </c>
      <c r="D53" s="36" t="s">
        <v>182</v>
      </c>
      <c r="E53" s="36" t="s">
        <v>104</v>
      </c>
      <c r="F53" s="36"/>
      <c r="G53" s="37"/>
      <c r="H53" s="38" t="str">
        <f t="shared" si="2"/>
        <v>-</v>
      </c>
      <c r="I53" s="38">
        <v>6400</v>
      </c>
      <c r="J53" s="36" t="s">
        <v>135</v>
      </c>
    </row>
    <row r="54" spans="1:10" ht="18" customHeight="1" x14ac:dyDescent="0.25">
      <c r="A54" s="2">
        <v>11</v>
      </c>
      <c r="B54" s="17">
        <v>46073</v>
      </c>
      <c r="C54" s="18" t="s">
        <v>183</v>
      </c>
      <c r="D54" s="18" t="s">
        <v>144</v>
      </c>
      <c r="E54" s="18" t="s">
        <v>104</v>
      </c>
      <c r="F54" s="18"/>
      <c r="G54" s="19">
        <v>75806</v>
      </c>
      <c r="H54" s="20">
        <f t="shared" si="2"/>
        <v>13645.08</v>
      </c>
      <c r="I54" s="20">
        <f t="shared" si="3"/>
        <v>89451.08</v>
      </c>
      <c r="J54" s="18" t="s">
        <v>135</v>
      </c>
    </row>
    <row r="55" spans="1:10" ht="18" customHeight="1" x14ac:dyDescent="0.25">
      <c r="A55" s="34">
        <v>12</v>
      </c>
      <c r="B55" s="35">
        <v>46073</v>
      </c>
      <c r="C55" s="36" t="s">
        <v>184</v>
      </c>
      <c r="D55" s="36" t="s">
        <v>144</v>
      </c>
      <c r="E55" s="36" t="s">
        <v>104</v>
      </c>
      <c r="F55" s="36"/>
      <c r="G55" s="37">
        <v>57287</v>
      </c>
      <c r="H55" s="38">
        <f t="shared" si="2"/>
        <v>10311.66</v>
      </c>
      <c r="I55" s="38">
        <f t="shared" si="3"/>
        <v>67598.66</v>
      </c>
      <c r="J55" s="36" t="s">
        <v>135</v>
      </c>
    </row>
    <row r="56" spans="1:10" ht="18" customHeight="1" x14ac:dyDescent="0.25">
      <c r="A56" s="2">
        <v>13</v>
      </c>
      <c r="B56" s="17">
        <v>46072</v>
      </c>
      <c r="C56" s="18" t="s">
        <v>185</v>
      </c>
      <c r="D56" s="18" t="s">
        <v>186</v>
      </c>
      <c r="E56" s="18" t="s">
        <v>94</v>
      </c>
      <c r="F56" s="18"/>
      <c r="G56" s="19"/>
      <c r="H56" s="20" t="str">
        <f t="shared" si="2"/>
        <v>-</v>
      </c>
      <c r="I56" s="20">
        <v>130000</v>
      </c>
      <c r="J56" s="18" t="s">
        <v>187</v>
      </c>
    </row>
    <row r="57" spans="1:10" ht="18" customHeight="1" x14ac:dyDescent="0.25">
      <c r="A57" s="34">
        <v>14</v>
      </c>
      <c r="B57" s="35">
        <v>46072</v>
      </c>
      <c r="C57" s="36" t="s">
        <v>188</v>
      </c>
      <c r="D57" s="36" t="s">
        <v>189</v>
      </c>
      <c r="E57" s="36" t="s">
        <v>104</v>
      </c>
      <c r="F57" s="36"/>
      <c r="G57" s="37"/>
      <c r="H57" s="38" t="str">
        <f t="shared" si="2"/>
        <v>-</v>
      </c>
      <c r="I57" s="38">
        <v>100000</v>
      </c>
      <c r="J57" s="36" t="s">
        <v>135</v>
      </c>
    </row>
    <row r="58" spans="1:10" ht="18" customHeight="1" x14ac:dyDescent="0.25">
      <c r="A58" s="2">
        <v>15</v>
      </c>
      <c r="B58" s="17">
        <v>46071</v>
      </c>
      <c r="C58" s="18" t="s">
        <v>190</v>
      </c>
      <c r="D58" s="18" t="s">
        <v>191</v>
      </c>
      <c r="E58" s="18" t="s">
        <v>95</v>
      </c>
      <c r="F58" s="18"/>
      <c r="G58" s="19"/>
      <c r="H58" s="20" t="str">
        <f t="shared" si="2"/>
        <v>-</v>
      </c>
      <c r="I58" s="20">
        <v>280000</v>
      </c>
      <c r="J58" s="18" t="s">
        <v>135</v>
      </c>
    </row>
    <row r="59" spans="1:10" ht="18" customHeight="1" x14ac:dyDescent="0.25">
      <c r="A59" s="34">
        <v>16</v>
      </c>
      <c r="B59" s="35">
        <v>46073</v>
      </c>
      <c r="C59" s="36"/>
      <c r="D59" s="36" t="s">
        <v>192</v>
      </c>
      <c r="E59" s="36" t="s">
        <v>92</v>
      </c>
      <c r="F59" s="36"/>
      <c r="G59" s="37"/>
      <c r="H59" s="38" t="str">
        <f t="shared" si="2"/>
        <v>-</v>
      </c>
      <c r="I59" s="38">
        <v>418000</v>
      </c>
      <c r="J59" s="36" t="s">
        <v>135</v>
      </c>
    </row>
    <row r="60" spans="1:10" ht="18" customHeight="1" x14ac:dyDescent="0.25">
      <c r="A60" s="2">
        <v>17</v>
      </c>
      <c r="B60" s="17">
        <v>46072</v>
      </c>
      <c r="C60" s="18" t="s">
        <v>193</v>
      </c>
      <c r="D60" s="18" t="s">
        <v>194</v>
      </c>
      <c r="E60" s="18" t="s">
        <v>103</v>
      </c>
      <c r="F60" s="18"/>
      <c r="G60" s="19"/>
      <c r="H60" s="20" t="str">
        <f t="shared" si="2"/>
        <v>-</v>
      </c>
      <c r="I60" s="20">
        <v>179000</v>
      </c>
      <c r="J60" s="18" t="s">
        <v>135</v>
      </c>
    </row>
    <row r="61" spans="1:10" ht="18" customHeight="1" x14ac:dyDescent="0.25">
      <c r="A61" s="2">
        <v>18</v>
      </c>
      <c r="B61" s="17">
        <v>46072</v>
      </c>
      <c r="C61" s="18"/>
      <c r="D61" s="18" t="s">
        <v>195</v>
      </c>
      <c r="E61" s="18" t="s">
        <v>103</v>
      </c>
      <c r="F61" s="18"/>
      <c r="G61" s="19"/>
      <c r="H61" s="20"/>
      <c r="I61" s="20">
        <v>150000</v>
      </c>
      <c r="J61" s="18" t="s">
        <v>135</v>
      </c>
    </row>
    <row r="62" spans="1:10" ht="18" customHeight="1" x14ac:dyDescent="0.25">
      <c r="A62" s="2">
        <v>19</v>
      </c>
      <c r="B62" s="17">
        <v>46072</v>
      </c>
      <c r="C62" s="18"/>
      <c r="D62" s="18" t="s">
        <v>202</v>
      </c>
      <c r="E62" s="18" t="s">
        <v>103</v>
      </c>
      <c r="F62" s="18"/>
      <c r="G62" s="19"/>
      <c r="H62" s="20"/>
      <c r="I62" s="20">
        <v>80000</v>
      </c>
      <c r="J62" s="18" t="s">
        <v>135</v>
      </c>
    </row>
    <row r="63" spans="1:10" ht="24" customHeight="1" x14ac:dyDescent="0.25">
      <c r="A63" s="2">
        <v>20</v>
      </c>
      <c r="B63" s="17">
        <v>46073</v>
      </c>
      <c r="C63" s="18" t="s">
        <v>211</v>
      </c>
      <c r="D63" s="18" t="s">
        <v>212</v>
      </c>
      <c r="E63" s="18" t="s">
        <v>92</v>
      </c>
      <c r="F63" s="18"/>
      <c r="G63" s="19"/>
      <c r="H63" s="20"/>
      <c r="I63" s="20">
        <v>300000</v>
      </c>
      <c r="J63" s="18" t="s">
        <v>135</v>
      </c>
    </row>
    <row r="64" spans="1:10" ht="24" customHeight="1" x14ac:dyDescent="0.25">
      <c r="A64" s="2">
        <v>21</v>
      </c>
      <c r="B64" s="17">
        <v>46058</v>
      </c>
      <c r="C64" s="18" t="s">
        <v>213</v>
      </c>
      <c r="D64" s="18" t="s">
        <v>214</v>
      </c>
      <c r="E64" s="18" t="s">
        <v>97</v>
      </c>
      <c r="F64" s="18"/>
      <c r="G64" s="19"/>
      <c r="H64" s="20"/>
      <c r="I64" s="20">
        <v>118000</v>
      </c>
      <c r="J64" s="18" t="s">
        <v>135</v>
      </c>
    </row>
    <row r="65" spans="1:10" ht="24" customHeight="1" x14ac:dyDescent="0.25">
      <c r="A65" s="2">
        <v>22</v>
      </c>
      <c r="B65" s="17">
        <v>46069</v>
      </c>
      <c r="C65" s="18" t="s">
        <v>215</v>
      </c>
      <c r="D65" s="18" t="s">
        <v>216</v>
      </c>
      <c r="E65" s="18" t="s">
        <v>104</v>
      </c>
      <c r="F65" s="18"/>
      <c r="G65" s="19">
        <v>7627</v>
      </c>
      <c r="H65" s="20">
        <v>1373</v>
      </c>
      <c r="I65" s="20">
        <v>9000</v>
      </c>
      <c r="J65" s="18" t="s">
        <v>135</v>
      </c>
    </row>
    <row r="66" spans="1:10" ht="24" customHeight="1" x14ac:dyDescent="0.25">
      <c r="A66" s="2">
        <v>23</v>
      </c>
      <c r="B66" s="17">
        <v>46071</v>
      </c>
      <c r="C66" s="18" t="s">
        <v>167</v>
      </c>
      <c r="D66" s="18" t="s">
        <v>217</v>
      </c>
      <c r="E66" s="18" t="s">
        <v>94</v>
      </c>
      <c r="F66" s="18"/>
      <c r="G66" s="19"/>
      <c r="H66" s="20"/>
      <c r="I66" s="20">
        <v>230000</v>
      </c>
      <c r="J66" s="18" t="s">
        <v>135</v>
      </c>
    </row>
    <row r="67" spans="1:10" ht="24" customHeight="1" x14ac:dyDescent="0.25">
      <c r="A67" s="2">
        <v>24</v>
      </c>
      <c r="B67" s="17">
        <v>46073</v>
      </c>
      <c r="C67" s="18" t="s">
        <v>218</v>
      </c>
      <c r="D67" s="18" t="s">
        <v>219</v>
      </c>
      <c r="E67" s="18" t="s">
        <v>92</v>
      </c>
      <c r="F67" s="18"/>
      <c r="G67" s="19"/>
      <c r="H67" s="20"/>
      <c r="I67" s="20">
        <v>30000</v>
      </c>
      <c r="J67" s="18" t="s">
        <v>135</v>
      </c>
    </row>
    <row r="68" spans="1:10" ht="24" customHeight="1" x14ac:dyDescent="0.25">
      <c r="A68" s="2">
        <v>25</v>
      </c>
      <c r="B68" s="17">
        <v>46071</v>
      </c>
      <c r="C68" s="18" t="s">
        <v>151</v>
      </c>
      <c r="D68" s="18" t="s">
        <v>152</v>
      </c>
      <c r="E68" s="18" t="s">
        <v>94</v>
      </c>
      <c r="F68" s="18"/>
      <c r="G68" s="19">
        <v>368093</v>
      </c>
      <c r="H68" s="20">
        <v>66257</v>
      </c>
      <c r="I68" s="20">
        <v>434350</v>
      </c>
      <c r="J68" s="18" t="s">
        <v>135</v>
      </c>
    </row>
    <row r="69" spans="1:10" ht="18" customHeight="1" x14ac:dyDescent="0.25">
      <c r="A69" s="34">
        <v>26</v>
      </c>
      <c r="B69" s="35">
        <v>46067</v>
      </c>
      <c r="C69" s="36" t="s">
        <v>200</v>
      </c>
      <c r="D69" s="36" t="s">
        <v>201</v>
      </c>
      <c r="E69" s="36" t="s">
        <v>104</v>
      </c>
      <c r="F69" s="36"/>
      <c r="G69" s="37"/>
      <c r="H69" s="38" t="str">
        <f t="shared" si="2"/>
        <v>-</v>
      </c>
      <c r="I69" s="38">
        <v>75000</v>
      </c>
      <c r="J69" s="36" t="s">
        <v>135</v>
      </c>
    </row>
    <row r="70" spans="1:10" ht="19.5" customHeight="1" x14ac:dyDescent="0.25">
      <c r="A70" s="72" t="s">
        <v>90</v>
      </c>
      <c r="B70" s="72"/>
      <c r="C70" s="72"/>
      <c r="D70" s="72"/>
      <c r="E70" s="72"/>
      <c r="F70" s="72"/>
      <c r="G70" s="39">
        <f>SUM(G44:G69)</f>
        <v>712039</v>
      </c>
      <c r="H70" s="39">
        <f>SUM(H44:H69)</f>
        <v>128167.42</v>
      </c>
      <c r="I70" s="39">
        <f>SUM(I44:I69)</f>
        <v>3658606.42</v>
      </c>
      <c r="J70" s="40"/>
    </row>
    <row r="72" spans="1:10" ht="18" customHeight="1" x14ac:dyDescent="0.25">
      <c r="A72" s="73" t="s">
        <v>91</v>
      </c>
      <c r="B72" s="73"/>
      <c r="C72" s="73"/>
      <c r="D72" s="73"/>
      <c r="E72" s="73"/>
      <c r="F72" s="73"/>
      <c r="G72" s="73"/>
      <c r="H72" s="73"/>
      <c r="I72" s="73"/>
      <c r="J72" s="73"/>
    </row>
    <row r="73" spans="1:10" ht="19.5" customHeight="1" x14ac:dyDescent="0.25">
      <c r="A73" s="67" t="s">
        <v>67</v>
      </c>
      <c r="B73" s="67"/>
      <c r="C73" s="67"/>
      <c r="D73" s="67"/>
      <c r="E73" s="41" t="s">
        <v>75</v>
      </c>
      <c r="F73" s="68" t="s">
        <v>76</v>
      </c>
      <c r="G73" s="68"/>
      <c r="H73" s="68" t="s">
        <v>77</v>
      </c>
      <c r="I73" s="68"/>
      <c r="J73" s="41" t="s">
        <v>78</v>
      </c>
    </row>
    <row r="74" spans="1:10" ht="18" customHeight="1" x14ac:dyDescent="0.25">
      <c r="A74" s="64" t="s">
        <v>92</v>
      </c>
      <c r="B74" s="64"/>
      <c r="C74" s="64"/>
      <c r="D74" s="64"/>
      <c r="E74" s="42">
        <f>COUNTIF(E44:E69,A74)</f>
        <v>3</v>
      </c>
      <c r="F74" s="65">
        <f>SUMIF(E44:E69,A74,G44:G69)</f>
        <v>0</v>
      </c>
      <c r="G74" s="65"/>
      <c r="H74" s="65">
        <f>SUMIF(E44:E69,A74,I44:I69)</f>
        <v>748000</v>
      </c>
      <c r="I74" s="65"/>
      <c r="J74" s="43">
        <f>IFERROR(F74/G70,0)</f>
        <v>0</v>
      </c>
    </row>
    <row r="75" spans="1:10" ht="18" customHeight="1" x14ac:dyDescent="0.25">
      <c r="A75" s="62" t="s">
        <v>93</v>
      </c>
      <c r="B75" s="62"/>
      <c r="C75" s="62"/>
      <c r="D75" s="62"/>
      <c r="E75" s="31">
        <f>COUNTIF(E44:E69,A75)</f>
        <v>0</v>
      </c>
      <c r="F75" s="63">
        <f>SUMIF(E44:E69,A75,G44:G69)</f>
        <v>0</v>
      </c>
      <c r="G75" s="63"/>
      <c r="H75" s="63">
        <f>SUMIF(E44:E69,A75,I44:I69)</f>
        <v>0</v>
      </c>
      <c r="I75" s="63"/>
      <c r="J75" s="32">
        <f>IFERROR(F75/G70,0)</f>
        <v>0</v>
      </c>
    </row>
    <row r="76" spans="1:10" ht="18" customHeight="1" x14ac:dyDescent="0.25">
      <c r="A76" s="64" t="s">
        <v>94</v>
      </c>
      <c r="B76" s="64"/>
      <c r="C76" s="64"/>
      <c r="D76" s="64"/>
      <c r="E76" s="42">
        <f>COUNTIF(E44:E69,A76)</f>
        <v>9</v>
      </c>
      <c r="F76" s="65">
        <f>SUMIF(E44:E69,A76,G44:G69)</f>
        <v>571319</v>
      </c>
      <c r="G76" s="65"/>
      <c r="H76" s="65">
        <f>SUMIF(E44:E69,A76,I44:I69)</f>
        <v>1731156.68</v>
      </c>
      <c r="I76" s="65"/>
      <c r="J76" s="43">
        <f>IFERROR(F76/G70,0)</f>
        <v>0.80237037577997838</v>
      </c>
    </row>
    <row r="77" spans="1:10" ht="18" customHeight="1" x14ac:dyDescent="0.25">
      <c r="A77" s="62" t="s">
        <v>95</v>
      </c>
      <c r="B77" s="62"/>
      <c r="C77" s="62"/>
      <c r="D77" s="62"/>
      <c r="E77" s="31">
        <f>COUNTIF(E44:E69,A77)</f>
        <v>1</v>
      </c>
      <c r="F77" s="63">
        <f>SUMIF(E44:E69,A77,G44:G69)</f>
        <v>0</v>
      </c>
      <c r="G77" s="63"/>
      <c r="H77" s="63">
        <f>SUMIF(E44:E69,A77,I44:I69)</f>
        <v>280000</v>
      </c>
      <c r="I77" s="63"/>
      <c r="J77" s="32">
        <f>IFERROR(F77/G70,0)</f>
        <v>0</v>
      </c>
    </row>
    <row r="78" spans="1:10" ht="18" customHeight="1" x14ac:dyDescent="0.25">
      <c r="A78" s="64" t="s">
        <v>96</v>
      </c>
      <c r="B78" s="64"/>
      <c r="C78" s="64"/>
      <c r="D78" s="64"/>
      <c r="E78" s="42">
        <f>COUNTIF(E44:E69,A78)</f>
        <v>0</v>
      </c>
      <c r="F78" s="65">
        <f>SUMIF(E44:E69,A78,G44:G69)</f>
        <v>0</v>
      </c>
      <c r="G78" s="65"/>
      <c r="H78" s="65">
        <f>SUMIF(E44:E69,A78,I44:I69)</f>
        <v>0</v>
      </c>
      <c r="I78" s="65"/>
      <c r="J78" s="43">
        <f>IFERROR(F78/G70,0)</f>
        <v>0</v>
      </c>
    </row>
    <row r="79" spans="1:10" ht="18" customHeight="1" x14ac:dyDescent="0.25">
      <c r="A79" s="62" t="s">
        <v>97</v>
      </c>
      <c r="B79" s="62"/>
      <c r="C79" s="62"/>
      <c r="D79" s="62"/>
      <c r="E79" s="31">
        <f>COUNTIF(E44:E69,A79)</f>
        <v>2</v>
      </c>
      <c r="F79" s="63">
        <f>SUMIF(E44:E69,A79,G44:G69)</f>
        <v>0</v>
      </c>
      <c r="G79" s="63"/>
      <c r="H79" s="63">
        <f>SUMIF(E44:E69,A79,I44:I69)</f>
        <v>130000</v>
      </c>
      <c r="I79" s="63"/>
      <c r="J79" s="32">
        <f>IFERROR(F79/G70,0)</f>
        <v>0</v>
      </c>
    </row>
    <row r="80" spans="1:10" ht="18" customHeight="1" x14ac:dyDescent="0.25">
      <c r="A80" s="64" t="s">
        <v>98</v>
      </c>
      <c r="B80" s="64"/>
      <c r="C80" s="64"/>
      <c r="D80" s="64"/>
      <c r="E80" s="42">
        <f>COUNTIF(E44:E69,A80)</f>
        <v>0</v>
      </c>
      <c r="F80" s="65">
        <f>SUMIF(E44:E69,A80,G44:G69)</f>
        <v>0</v>
      </c>
      <c r="G80" s="65"/>
      <c r="H80" s="65">
        <f>SUMIF(E44:E69,A80,I44:I69)</f>
        <v>0</v>
      </c>
      <c r="I80" s="65"/>
      <c r="J80" s="43">
        <f>IFERROR(F80/G70,0)</f>
        <v>0</v>
      </c>
    </row>
    <row r="81" spans="1:10" ht="18" customHeight="1" x14ac:dyDescent="0.25">
      <c r="A81" s="62" t="s">
        <v>99</v>
      </c>
      <c r="B81" s="62"/>
      <c r="C81" s="62"/>
      <c r="D81" s="62"/>
      <c r="E81" s="31">
        <f>COUNTIF(E44:E69,A81)</f>
        <v>0</v>
      </c>
      <c r="F81" s="63">
        <f>SUMIF(E44:E69,A81,G44:G69)</f>
        <v>0</v>
      </c>
      <c r="G81" s="63"/>
      <c r="H81" s="63">
        <f>SUMIF(E44:E69,A81,I44:I69)</f>
        <v>0</v>
      </c>
      <c r="I81" s="63"/>
      <c r="J81" s="32">
        <f>IFERROR(F81/G70,0)</f>
        <v>0</v>
      </c>
    </row>
    <row r="82" spans="1:10" ht="18" customHeight="1" x14ac:dyDescent="0.25">
      <c r="A82" s="64" t="s">
        <v>100</v>
      </c>
      <c r="B82" s="64"/>
      <c r="C82" s="64"/>
      <c r="D82" s="64"/>
      <c r="E82" s="42">
        <f>COUNTIF(E44:E69,A82)</f>
        <v>0</v>
      </c>
      <c r="F82" s="65">
        <f>SUMIF(E44:E69,A82,G44:G69)</f>
        <v>0</v>
      </c>
      <c r="G82" s="65"/>
      <c r="H82" s="65">
        <f>SUMIF(E44:E69,A82,I44:I69)</f>
        <v>0</v>
      </c>
      <c r="I82" s="65"/>
      <c r="J82" s="43">
        <f>IFERROR(F82/G70,0)</f>
        <v>0</v>
      </c>
    </row>
    <row r="83" spans="1:10" ht="18" customHeight="1" x14ac:dyDescent="0.25">
      <c r="A83" s="62" t="s">
        <v>101</v>
      </c>
      <c r="B83" s="62"/>
      <c r="C83" s="62"/>
      <c r="D83" s="62"/>
      <c r="E83" s="31">
        <f>COUNTIF(E44:E69,A83)</f>
        <v>0</v>
      </c>
      <c r="F83" s="63">
        <f>SUMIF(E44:E69,A83,G44:G69)</f>
        <v>0</v>
      </c>
      <c r="G83" s="63"/>
      <c r="H83" s="63">
        <f>SUMIF(E44:E69,A83,I44:I69)</f>
        <v>0</v>
      </c>
      <c r="I83" s="63"/>
      <c r="J83" s="32">
        <f>IFERROR(F83/G70,0)</f>
        <v>0</v>
      </c>
    </row>
    <row r="84" spans="1:10" ht="18" customHeight="1" x14ac:dyDescent="0.25">
      <c r="A84" s="64" t="s">
        <v>102</v>
      </c>
      <c r="B84" s="64"/>
      <c r="C84" s="64"/>
      <c r="D84" s="64"/>
      <c r="E84" s="42">
        <f>COUNTIF(E44:E69,A84)</f>
        <v>0</v>
      </c>
      <c r="F84" s="65">
        <f>SUMIF(E44:E69,A84,G44:G69)</f>
        <v>0</v>
      </c>
      <c r="G84" s="65"/>
      <c r="H84" s="65">
        <f>SUMIF(E44:E69,A84,I44:I69)</f>
        <v>0</v>
      </c>
      <c r="I84" s="65"/>
      <c r="J84" s="43">
        <f>IFERROR(F84/G70,0)</f>
        <v>0</v>
      </c>
    </row>
    <row r="85" spans="1:10" ht="18" customHeight="1" x14ac:dyDescent="0.25">
      <c r="A85" s="62" t="s">
        <v>103</v>
      </c>
      <c r="B85" s="62"/>
      <c r="C85" s="62"/>
      <c r="D85" s="62"/>
      <c r="E85" s="31">
        <f>COUNTIF(E44:E69,A85)</f>
        <v>3</v>
      </c>
      <c r="F85" s="63">
        <f>SUMIF(E44:E69,A85,G44:G69)</f>
        <v>0</v>
      </c>
      <c r="G85" s="63"/>
      <c r="H85" s="63">
        <f>SUMIF(E44:E69,A85,I44:I69)</f>
        <v>409000</v>
      </c>
      <c r="I85" s="63"/>
      <c r="J85" s="32">
        <f>IFERROR(F85/G70,0)</f>
        <v>0</v>
      </c>
    </row>
    <row r="86" spans="1:10" ht="18" customHeight="1" x14ac:dyDescent="0.25">
      <c r="A86" s="64" t="s">
        <v>104</v>
      </c>
      <c r="B86" s="64"/>
      <c r="C86" s="64"/>
      <c r="D86" s="64"/>
      <c r="E86" s="42">
        <f>COUNTIF(E44:E69,A86)</f>
        <v>8</v>
      </c>
      <c r="F86" s="65">
        <f>SUMIF(E44:E69,A86,G44:G69)</f>
        <v>140720</v>
      </c>
      <c r="G86" s="65"/>
      <c r="H86" s="65">
        <f>SUMIF(E44:E69,A86,I44:I69)</f>
        <v>360449.74</v>
      </c>
      <c r="I86" s="65"/>
      <c r="J86" s="43">
        <f>IFERROR(F86/G70,0)</f>
        <v>0.19762962422002164</v>
      </c>
    </row>
    <row r="89" spans="1:10" ht="21.75" customHeight="1" x14ac:dyDescent="0.25">
      <c r="A89" s="66" t="s">
        <v>105</v>
      </c>
      <c r="B89" s="66"/>
      <c r="C89" s="66"/>
      <c r="D89" s="66"/>
      <c r="E89" s="66"/>
      <c r="F89" s="66"/>
      <c r="G89" s="66"/>
      <c r="H89" s="66"/>
      <c r="I89" s="66"/>
      <c r="J89" s="66"/>
    </row>
    <row r="90" spans="1:10" ht="21.75" customHeight="1" x14ac:dyDescent="0.25">
      <c r="A90" s="56" t="s">
        <v>106</v>
      </c>
      <c r="B90" s="56"/>
      <c r="C90" s="56"/>
      <c r="D90" s="56"/>
      <c r="E90" s="56"/>
      <c r="F90" s="56"/>
      <c r="G90" s="57">
        <f>G28</f>
        <v>0</v>
      </c>
      <c r="H90" s="57"/>
      <c r="I90" s="57"/>
      <c r="J90" s="57"/>
    </row>
    <row r="91" spans="1:10" ht="21.75" customHeight="1" x14ac:dyDescent="0.25">
      <c r="A91" s="56" t="s">
        <v>107</v>
      </c>
      <c r="B91" s="56"/>
      <c r="C91" s="56"/>
      <c r="D91" s="56"/>
      <c r="E91" s="56"/>
      <c r="F91" s="56"/>
      <c r="G91" s="57">
        <f>I28</f>
        <v>0</v>
      </c>
      <c r="H91" s="57"/>
      <c r="I91" s="57"/>
      <c r="J91" s="57"/>
    </row>
    <row r="92" spans="1:10" ht="21.75" customHeight="1" x14ac:dyDescent="0.25">
      <c r="A92" s="58" t="s">
        <v>108</v>
      </c>
      <c r="B92" s="58"/>
      <c r="C92" s="58"/>
      <c r="D92" s="58"/>
      <c r="E92" s="58"/>
      <c r="F92" s="58"/>
      <c r="G92" s="59">
        <f>G70</f>
        <v>712039</v>
      </c>
      <c r="H92" s="59"/>
      <c r="I92" s="59"/>
      <c r="J92" s="59"/>
    </row>
    <row r="93" spans="1:10" ht="21.75" customHeight="1" x14ac:dyDescent="0.25">
      <c r="A93" s="58" t="s">
        <v>109</v>
      </c>
      <c r="B93" s="58"/>
      <c r="C93" s="58"/>
      <c r="D93" s="58"/>
      <c r="E93" s="58"/>
      <c r="F93" s="58"/>
      <c r="G93" s="59">
        <f>I70</f>
        <v>3658606.42</v>
      </c>
      <c r="H93" s="59"/>
      <c r="I93" s="59"/>
      <c r="J93" s="59"/>
    </row>
    <row r="94" spans="1:10" ht="21.75" customHeight="1" x14ac:dyDescent="0.25">
      <c r="A94" s="60" t="s">
        <v>110</v>
      </c>
      <c r="B94" s="60"/>
      <c r="C94" s="60"/>
      <c r="D94" s="60"/>
      <c r="E94" s="60"/>
      <c r="F94" s="60"/>
      <c r="G94" s="61">
        <f>G28*$E$6</f>
        <v>0</v>
      </c>
      <c r="H94" s="61"/>
      <c r="I94" s="61"/>
      <c r="J94" s="61"/>
    </row>
    <row r="95" spans="1:10" ht="21.75" customHeight="1" x14ac:dyDescent="0.25">
      <c r="A95" s="60" t="s">
        <v>111</v>
      </c>
      <c r="B95" s="60"/>
      <c r="C95" s="60"/>
      <c r="D95" s="60"/>
      <c r="E95" s="60"/>
      <c r="F95" s="60"/>
      <c r="G95" s="61">
        <f>G70*$E$6</f>
        <v>128167.01999999999</v>
      </c>
      <c r="H95" s="61"/>
      <c r="I95" s="61"/>
      <c r="J95" s="61"/>
    </row>
    <row r="96" spans="1:10" ht="21.75" customHeight="1" x14ac:dyDescent="0.25">
      <c r="A96" s="47" t="s">
        <v>112</v>
      </c>
      <c r="B96" s="47"/>
      <c r="C96" s="47"/>
      <c r="D96" s="47"/>
      <c r="E96" s="47"/>
      <c r="F96" s="47"/>
      <c r="G96" s="48">
        <f>G28*$E$6-G70*$E$6</f>
        <v>-128167.01999999999</v>
      </c>
      <c r="H96" s="48"/>
      <c r="I96" s="48"/>
      <c r="J96" s="48"/>
    </row>
    <row r="97" spans="1:10" ht="21.75" customHeight="1" x14ac:dyDescent="0.25">
      <c r="A97" s="49" t="s">
        <v>113</v>
      </c>
      <c r="B97" s="49"/>
      <c r="C97" s="49"/>
      <c r="D97" s="49"/>
      <c r="E97" s="49"/>
      <c r="F97" s="49"/>
      <c r="G97" s="50">
        <f>G28-G70</f>
        <v>-712039</v>
      </c>
      <c r="H97" s="50"/>
      <c r="I97" s="50"/>
      <c r="J97" s="50"/>
    </row>
    <row r="98" spans="1:10" ht="21.75" customHeight="1" x14ac:dyDescent="0.25">
      <c r="A98" s="51" t="s">
        <v>114</v>
      </c>
      <c r="B98" s="51"/>
      <c r="C98" s="51"/>
      <c r="D98" s="51"/>
      <c r="E98" s="51"/>
      <c r="F98" s="51"/>
      <c r="G98" s="52">
        <f>I28-I70</f>
        <v>-3658606.42</v>
      </c>
      <c r="H98" s="52"/>
      <c r="I98" s="52"/>
      <c r="J98" s="52"/>
    </row>
    <row r="99" spans="1:10" ht="21.75" customHeight="1" x14ac:dyDescent="0.25">
      <c r="A99" s="53" t="s">
        <v>115</v>
      </c>
      <c r="B99" s="53"/>
      <c r="C99" s="53"/>
      <c r="D99" s="53"/>
      <c r="E99" s="53"/>
      <c r="F99" s="53"/>
      <c r="G99" s="54">
        <f>IFERROR((G28-G70)/G28,0)</f>
        <v>0</v>
      </c>
      <c r="H99" s="54"/>
      <c r="I99" s="54"/>
      <c r="J99" s="54"/>
    </row>
    <row r="100" spans="1:10" ht="21.75" customHeight="1" x14ac:dyDescent="0.25">
      <c r="A100" s="55" t="str">
        <f>IF(G97&gt;0,"EXCEDENT  -  Finances saines",IF(G97=0,"EQUILIBRE","DEFICIT  -  Action requise"))</f>
        <v>DEFICIT  -  Action requise</v>
      </c>
      <c r="B100" s="55"/>
      <c r="C100" s="55"/>
      <c r="D100" s="55"/>
      <c r="E100" s="55"/>
      <c r="F100" s="55"/>
      <c r="G100" s="55"/>
      <c r="H100" s="55"/>
      <c r="I100" s="55"/>
      <c r="J100" s="55"/>
    </row>
    <row r="102" spans="1:10" ht="18" customHeight="1" x14ac:dyDescent="0.25">
      <c r="A102" s="44" t="s">
        <v>116</v>
      </c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5.75" customHeight="1" x14ac:dyDescent="0.25">
      <c r="A103" s="45" t="s">
        <v>117</v>
      </c>
      <c r="B103" s="45"/>
      <c r="C103" s="45"/>
      <c r="D103" s="45"/>
      <c r="E103" s="45"/>
      <c r="F103" s="45"/>
      <c r="G103" s="45"/>
      <c r="H103" s="45"/>
      <c r="I103" s="45"/>
      <c r="J103" s="45"/>
    </row>
    <row r="104" spans="1:10" ht="15.75" customHeight="1" x14ac:dyDescent="0.25">
      <c r="A104" s="46" t="s">
        <v>118</v>
      </c>
      <c r="B104" s="46"/>
      <c r="C104" s="46"/>
      <c r="D104" s="46"/>
      <c r="E104" s="46"/>
      <c r="F104" s="46"/>
      <c r="G104" s="46"/>
      <c r="H104" s="46"/>
      <c r="I104" s="46"/>
      <c r="J104" s="46"/>
    </row>
    <row r="105" spans="1:10" ht="15.75" customHeight="1" x14ac:dyDescent="0.25">
      <c r="A105" s="45" t="s">
        <v>119</v>
      </c>
      <c r="B105" s="45"/>
      <c r="C105" s="45"/>
      <c r="D105" s="45"/>
      <c r="E105" s="45"/>
      <c r="F105" s="45"/>
      <c r="G105" s="45"/>
      <c r="H105" s="45"/>
      <c r="I105" s="45"/>
      <c r="J105" s="45"/>
    </row>
    <row r="106" spans="1:10" ht="15.75" customHeight="1" x14ac:dyDescent="0.25">
      <c r="A106" s="46" t="s">
        <v>120</v>
      </c>
      <c r="B106" s="46"/>
      <c r="C106" s="46"/>
      <c r="D106" s="46"/>
      <c r="E106" s="46"/>
      <c r="F106" s="46"/>
      <c r="G106" s="46"/>
      <c r="H106" s="46"/>
      <c r="I106" s="46"/>
      <c r="J106" s="46"/>
    </row>
    <row r="107" spans="1:10" ht="15.75" customHeight="1" x14ac:dyDescent="0.25">
      <c r="A107" s="45" t="s">
        <v>121</v>
      </c>
      <c r="B107" s="45"/>
      <c r="C107" s="45"/>
      <c r="D107" s="45"/>
      <c r="E107" s="45"/>
      <c r="F107" s="45"/>
      <c r="G107" s="45"/>
      <c r="H107" s="45"/>
      <c r="I107" s="45"/>
      <c r="J107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70:F70"/>
    <mergeCell ref="A72:J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79:D79"/>
    <mergeCell ref="F79:G79"/>
    <mergeCell ref="H79:I79"/>
    <mergeCell ref="A80:D80"/>
    <mergeCell ref="F80:G80"/>
    <mergeCell ref="H80:I80"/>
    <mergeCell ref="A81:D81"/>
    <mergeCell ref="F81:G81"/>
    <mergeCell ref="H81:I81"/>
    <mergeCell ref="A82:D82"/>
    <mergeCell ref="F82:G82"/>
    <mergeCell ref="H82:I82"/>
    <mergeCell ref="A83:D83"/>
    <mergeCell ref="F83:G83"/>
    <mergeCell ref="H83:I83"/>
    <mergeCell ref="A84:D84"/>
    <mergeCell ref="F84:G84"/>
    <mergeCell ref="H84:I84"/>
    <mergeCell ref="A85:D85"/>
    <mergeCell ref="F85:G85"/>
    <mergeCell ref="H85:I85"/>
    <mergeCell ref="A86:D86"/>
    <mergeCell ref="F86:G86"/>
    <mergeCell ref="H86:I86"/>
    <mergeCell ref="A89:J89"/>
    <mergeCell ref="A90:F90"/>
    <mergeCell ref="G90:J90"/>
    <mergeCell ref="A91:F91"/>
    <mergeCell ref="G91:J91"/>
    <mergeCell ref="A92:F92"/>
    <mergeCell ref="G92:J92"/>
    <mergeCell ref="A93:F93"/>
    <mergeCell ref="G93:J93"/>
    <mergeCell ref="A94:F94"/>
    <mergeCell ref="G94:J94"/>
    <mergeCell ref="A95:F95"/>
    <mergeCell ref="G95:J95"/>
    <mergeCell ref="A102:J102"/>
    <mergeCell ref="A103:J103"/>
    <mergeCell ref="A104:J104"/>
    <mergeCell ref="A105:J105"/>
    <mergeCell ref="A106:J106"/>
    <mergeCell ref="A107:J107"/>
    <mergeCell ref="A96:F96"/>
    <mergeCell ref="G96:J96"/>
    <mergeCell ref="A97:F97"/>
    <mergeCell ref="G97:J97"/>
    <mergeCell ref="A98:F98"/>
    <mergeCell ref="G98:J98"/>
    <mergeCell ref="A99:F99"/>
    <mergeCell ref="G99:J99"/>
    <mergeCell ref="A100:J100"/>
  </mergeCells>
  <dataValidations count="3">
    <dataValidation type="list" allowBlank="1" sqref="E10:E27" xr:uid="{00000000-0002-0000-02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9 J10:J27" xr:uid="{00000000-0002-0000-0200-000001000000}">
      <formula1>"EMISE,PAYEE,EN ATTENTE,ANNULEE,LITIGIEUSE"</formula1>
      <formula2>0</formula2>
    </dataValidation>
    <dataValidation type="list" allowBlank="1" sqref="E44:E69" xr:uid="{00000000-0002-0000-02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9"/>
  <sheetViews>
    <sheetView zoomScaleNormal="100" workbookViewId="0">
      <pane ySplit="9" topLeftCell="A43" activePane="bottomLeft" state="frozen"/>
      <selection pane="bottomLeft" activeCell="J60" sqref="J60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>
        <v>46108</v>
      </c>
      <c r="C44" s="18" t="s">
        <v>137</v>
      </c>
      <c r="D44" s="18" t="s">
        <v>138</v>
      </c>
      <c r="E44" s="18" t="s">
        <v>97</v>
      </c>
      <c r="F44" s="18"/>
      <c r="G44" s="19"/>
      <c r="H44" s="20" t="str">
        <f t="shared" ref="H44:H61" si="2">IF(G44="","-",G44*$E$6)</f>
        <v>-</v>
      </c>
      <c r="I44" s="20">
        <v>11567</v>
      </c>
      <c r="J44" s="18" t="s">
        <v>135</v>
      </c>
    </row>
    <row r="45" spans="1:10" ht="18" customHeight="1" x14ac:dyDescent="0.25">
      <c r="A45" s="34">
        <v>2</v>
      </c>
      <c r="B45" s="35">
        <v>46107</v>
      </c>
      <c r="C45" s="36" t="s">
        <v>139</v>
      </c>
      <c r="D45" s="36" t="s">
        <v>140</v>
      </c>
      <c r="E45" s="36" t="s">
        <v>104</v>
      </c>
      <c r="F45" s="36"/>
      <c r="G45" s="37">
        <v>23686</v>
      </c>
      <c r="H45" s="38">
        <f t="shared" si="2"/>
        <v>4263.4799999999996</v>
      </c>
      <c r="I45" s="38">
        <f t="shared" ref="I44:I61" si="3">IF(G45="","-",G45+H45)</f>
        <v>27949.48</v>
      </c>
      <c r="J45" s="36" t="s">
        <v>135</v>
      </c>
    </row>
    <row r="46" spans="1:10" ht="37.5" customHeight="1" x14ac:dyDescent="0.25">
      <c r="A46" s="2">
        <v>3</v>
      </c>
      <c r="B46" s="17">
        <v>46107</v>
      </c>
      <c r="C46" s="18" t="s">
        <v>141</v>
      </c>
      <c r="D46" s="18" t="s">
        <v>142</v>
      </c>
      <c r="E46" s="18" t="s">
        <v>104</v>
      </c>
      <c r="F46" s="18"/>
      <c r="G46" s="19"/>
      <c r="H46" s="20" t="str">
        <f t="shared" si="2"/>
        <v>-</v>
      </c>
      <c r="I46" s="20">
        <v>18000</v>
      </c>
      <c r="J46" s="18" t="s">
        <v>135</v>
      </c>
    </row>
    <row r="47" spans="1:10" ht="18" customHeight="1" x14ac:dyDescent="0.25">
      <c r="A47" s="34">
        <v>4</v>
      </c>
      <c r="B47" s="35">
        <v>46109</v>
      </c>
      <c r="C47" s="36" t="s">
        <v>143</v>
      </c>
      <c r="D47" s="36" t="s">
        <v>144</v>
      </c>
      <c r="E47" s="36" t="s">
        <v>104</v>
      </c>
      <c r="F47" s="36"/>
      <c r="G47" s="37"/>
      <c r="H47" s="38" t="str">
        <f t="shared" si="2"/>
        <v>-</v>
      </c>
      <c r="I47" s="38">
        <f>40410</f>
        <v>40410</v>
      </c>
      <c r="J47" s="36" t="s">
        <v>135</v>
      </c>
    </row>
    <row r="48" spans="1:10" ht="18" customHeight="1" x14ac:dyDescent="0.25">
      <c r="A48" s="2">
        <v>5</v>
      </c>
      <c r="B48" s="17">
        <v>46109</v>
      </c>
      <c r="C48" s="18" t="s">
        <v>145</v>
      </c>
      <c r="D48" s="18" t="s">
        <v>146</v>
      </c>
      <c r="E48" s="18" t="s">
        <v>104</v>
      </c>
      <c r="F48" s="18"/>
      <c r="G48" s="19"/>
      <c r="H48" s="20" t="str">
        <f t="shared" si="2"/>
        <v>-</v>
      </c>
      <c r="I48" s="20">
        <v>30003</v>
      </c>
      <c r="J48" s="18" t="s">
        <v>135</v>
      </c>
    </row>
    <row r="49" spans="1:10" ht="18" customHeight="1" x14ac:dyDescent="0.25">
      <c r="A49" s="34">
        <v>6</v>
      </c>
      <c r="B49" s="35">
        <v>46110</v>
      </c>
      <c r="C49" s="36" t="s">
        <v>147</v>
      </c>
      <c r="D49" s="36" t="s">
        <v>148</v>
      </c>
      <c r="E49" s="36" t="s">
        <v>95</v>
      </c>
      <c r="F49" s="36"/>
      <c r="G49" s="37"/>
      <c r="H49" s="38" t="str">
        <f t="shared" si="2"/>
        <v>-</v>
      </c>
      <c r="I49" s="38">
        <v>32500</v>
      </c>
      <c r="J49" s="36" t="s">
        <v>135</v>
      </c>
    </row>
    <row r="50" spans="1:10" ht="18" customHeight="1" x14ac:dyDescent="0.25">
      <c r="A50" s="2">
        <v>7</v>
      </c>
      <c r="B50" s="17">
        <v>46109</v>
      </c>
      <c r="C50" s="18" t="s">
        <v>149</v>
      </c>
      <c r="D50" s="18" t="s">
        <v>150</v>
      </c>
      <c r="E50" s="18" t="s">
        <v>99</v>
      </c>
      <c r="F50" s="18"/>
      <c r="G50" s="19"/>
      <c r="H50" s="20" t="str">
        <f t="shared" si="2"/>
        <v>-</v>
      </c>
      <c r="I50" s="20">
        <v>25000</v>
      </c>
      <c r="J50" s="18" t="s">
        <v>135</v>
      </c>
    </row>
    <row r="51" spans="1:10" ht="18" customHeight="1" x14ac:dyDescent="0.25">
      <c r="A51" s="34">
        <v>8</v>
      </c>
      <c r="B51" s="35">
        <v>46105</v>
      </c>
      <c r="C51" s="36" t="s">
        <v>151</v>
      </c>
      <c r="D51" s="36" t="s">
        <v>152</v>
      </c>
      <c r="E51" s="36" t="s">
        <v>103</v>
      </c>
      <c r="F51" s="36"/>
      <c r="G51" s="37">
        <v>127119</v>
      </c>
      <c r="H51" s="38">
        <f t="shared" si="2"/>
        <v>22881.42</v>
      </c>
      <c r="I51" s="38">
        <f t="shared" si="3"/>
        <v>150000.41999999998</v>
      </c>
      <c r="J51" s="36" t="s">
        <v>135</v>
      </c>
    </row>
    <row r="52" spans="1:10" ht="18" customHeight="1" x14ac:dyDescent="0.25">
      <c r="A52" s="2">
        <v>9</v>
      </c>
      <c r="B52" s="17">
        <v>46102</v>
      </c>
      <c r="C52" s="18" t="s">
        <v>153</v>
      </c>
      <c r="D52" s="18" t="s">
        <v>154</v>
      </c>
      <c r="E52" s="18" t="s">
        <v>103</v>
      </c>
      <c r="F52" s="18"/>
      <c r="G52" s="19">
        <v>452542</v>
      </c>
      <c r="H52" s="20">
        <f t="shared" si="2"/>
        <v>81457.56</v>
      </c>
      <c r="I52" s="20">
        <f t="shared" si="3"/>
        <v>533999.56000000006</v>
      </c>
      <c r="J52" s="18" t="s">
        <v>135</v>
      </c>
    </row>
    <row r="53" spans="1:10" ht="18" customHeight="1" x14ac:dyDescent="0.25">
      <c r="A53" s="34">
        <v>10</v>
      </c>
      <c r="B53" s="35">
        <v>46083</v>
      </c>
      <c r="C53" s="36" t="s">
        <v>155</v>
      </c>
      <c r="D53" s="36" t="s">
        <v>156</v>
      </c>
      <c r="E53" s="36" t="s">
        <v>94</v>
      </c>
      <c r="F53" s="36"/>
      <c r="G53" s="37"/>
      <c r="H53" s="38" t="str">
        <f t="shared" si="2"/>
        <v>-</v>
      </c>
      <c r="I53" s="38">
        <v>16000</v>
      </c>
      <c r="J53" s="36" t="s">
        <v>135</v>
      </c>
    </row>
    <row r="54" spans="1:10" ht="18" customHeight="1" x14ac:dyDescent="0.25">
      <c r="A54" s="2">
        <v>11</v>
      </c>
      <c r="B54" s="17">
        <v>46104</v>
      </c>
      <c r="C54" s="18" t="s">
        <v>157</v>
      </c>
      <c r="D54" s="18" t="s">
        <v>158</v>
      </c>
      <c r="E54" s="18" t="s">
        <v>104</v>
      </c>
      <c r="F54" s="18"/>
      <c r="G54" s="19">
        <v>2966</v>
      </c>
      <c r="H54" s="20">
        <f t="shared" si="2"/>
        <v>533.88</v>
      </c>
      <c r="I54" s="20">
        <f t="shared" si="3"/>
        <v>3499.88</v>
      </c>
      <c r="J54" s="18" t="s">
        <v>135</v>
      </c>
    </row>
    <row r="55" spans="1:10" ht="29.25" customHeight="1" x14ac:dyDescent="0.25">
      <c r="A55" s="34">
        <v>12</v>
      </c>
      <c r="B55" s="35">
        <v>46084</v>
      </c>
      <c r="C55" s="36" t="s">
        <v>159</v>
      </c>
      <c r="D55" s="36" t="s">
        <v>160</v>
      </c>
      <c r="E55" s="36"/>
      <c r="F55" s="36"/>
      <c r="G55" s="37"/>
      <c r="H55" s="38" t="str">
        <f t="shared" si="2"/>
        <v>-</v>
      </c>
      <c r="I55" s="38">
        <v>40937</v>
      </c>
      <c r="J55" s="36" t="s">
        <v>135</v>
      </c>
    </row>
    <row r="56" spans="1:10" ht="18" customHeight="1" x14ac:dyDescent="0.25">
      <c r="A56" s="2">
        <v>13</v>
      </c>
      <c r="B56" s="17">
        <v>46104</v>
      </c>
      <c r="C56" s="18" t="s">
        <v>161</v>
      </c>
      <c r="D56" s="18" t="s">
        <v>162</v>
      </c>
      <c r="E56" s="18" t="s">
        <v>104</v>
      </c>
      <c r="F56" s="18"/>
      <c r="G56" s="19">
        <v>99153</v>
      </c>
      <c r="H56" s="20">
        <f t="shared" si="2"/>
        <v>17847.54</v>
      </c>
      <c r="I56" s="20">
        <f t="shared" si="3"/>
        <v>117000.54000000001</v>
      </c>
      <c r="J56" s="18" t="s">
        <v>135</v>
      </c>
    </row>
    <row r="57" spans="1:10" ht="18" customHeight="1" x14ac:dyDescent="0.25">
      <c r="A57" s="34">
        <v>14</v>
      </c>
      <c r="B57" s="35">
        <v>46104</v>
      </c>
      <c r="C57" s="36" t="s">
        <v>176</v>
      </c>
      <c r="D57" s="36" t="s">
        <v>144</v>
      </c>
      <c r="E57" s="36" t="s">
        <v>104</v>
      </c>
      <c r="F57" s="36"/>
      <c r="G57" s="37">
        <v>40592</v>
      </c>
      <c r="H57" s="38">
        <f t="shared" si="2"/>
        <v>7306.5599999999995</v>
      </c>
      <c r="I57" s="38">
        <f t="shared" si="3"/>
        <v>47898.559999999998</v>
      </c>
      <c r="J57" s="36" t="s">
        <v>135</v>
      </c>
    </row>
    <row r="58" spans="1:10" ht="18" customHeight="1" x14ac:dyDescent="0.25">
      <c r="A58" s="2">
        <v>15</v>
      </c>
      <c r="B58" s="17">
        <v>46100</v>
      </c>
      <c r="C58" s="18" t="s">
        <v>203</v>
      </c>
      <c r="D58" s="18" t="s">
        <v>134</v>
      </c>
      <c r="E58" s="18" t="s">
        <v>93</v>
      </c>
      <c r="F58" s="18"/>
      <c r="G58" s="19"/>
      <c r="H58" s="20" t="str">
        <f t="shared" si="2"/>
        <v>-</v>
      </c>
      <c r="I58" s="20">
        <v>15323</v>
      </c>
      <c r="J58" s="18" t="s">
        <v>135</v>
      </c>
    </row>
    <row r="59" spans="1:10" ht="18" customHeight="1" x14ac:dyDescent="0.25">
      <c r="A59" s="34">
        <v>16</v>
      </c>
      <c r="B59" s="35">
        <v>46100</v>
      </c>
      <c r="C59" s="36" t="s">
        <v>204</v>
      </c>
      <c r="D59" s="36" t="s">
        <v>134</v>
      </c>
      <c r="E59" s="36" t="s">
        <v>93</v>
      </c>
      <c r="F59" s="36"/>
      <c r="G59" s="37"/>
      <c r="H59" s="38" t="str">
        <f t="shared" si="2"/>
        <v>-</v>
      </c>
      <c r="I59" s="38">
        <v>12177</v>
      </c>
      <c r="J59" s="36" t="s">
        <v>135</v>
      </c>
    </row>
    <row r="60" spans="1:10" ht="18" customHeight="1" x14ac:dyDescent="0.25">
      <c r="A60" s="2">
        <v>17</v>
      </c>
      <c r="B60" s="17">
        <v>46106</v>
      </c>
      <c r="C60" s="18" t="s">
        <v>220</v>
      </c>
      <c r="D60" s="18" t="s">
        <v>221</v>
      </c>
      <c r="E60" s="18" t="s">
        <v>103</v>
      </c>
      <c r="F60" s="18"/>
      <c r="G60" s="19"/>
      <c r="H60" s="20" t="str">
        <f t="shared" si="2"/>
        <v>-</v>
      </c>
      <c r="I60" s="20">
        <v>60000</v>
      </c>
      <c r="J60" s="18" t="s">
        <v>135</v>
      </c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746058</v>
      </c>
      <c r="H62" s="39">
        <f>SUM(H44:H61)</f>
        <v>134290.44</v>
      </c>
      <c r="I62" s="39">
        <f>SUM(I44:I61)</f>
        <v>1182265.44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2</v>
      </c>
      <c r="F67" s="63">
        <f>SUMIF(E44:E61,A67,G44:G61)</f>
        <v>0</v>
      </c>
      <c r="G67" s="63"/>
      <c r="H67" s="63">
        <f>SUMIF(E44:E61,A67,I44:I61)</f>
        <v>27500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1</v>
      </c>
      <c r="F68" s="65">
        <f>SUMIF(E44:E61,A68,G44:G61)</f>
        <v>0</v>
      </c>
      <c r="G68" s="65"/>
      <c r="H68" s="65">
        <f>SUMIF(E44:E61,A68,I44:I61)</f>
        <v>16000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1</v>
      </c>
      <c r="F69" s="63">
        <f>SUMIF(E44:E61,A69,G44:G61)</f>
        <v>0</v>
      </c>
      <c r="G69" s="63"/>
      <c r="H69" s="63">
        <f>SUMIF(E44:E61,A69,I44:I61)</f>
        <v>32500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1</v>
      </c>
      <c r="F71" s="63">
        <f>SUMIF(E44:E61,A71,G44:G61)</f>
        <v>0</v>
      </c>
      <c r="G71" s="63"/>
      <c r="H71" s="63">
        <f>SUMIF(E44:E61,A71,I44:I61)</f>
        <v>11567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1</v>
      </c>
      <c r="F73" s="63">
        <f>SUMIF(E44:E61,A73,G44:G61)</f>
        <v>0</v>
      </c>
      <c r="G73" s="63"/>
      <c r="H73" s="63">
        <f>SUMIF(E44:E61,A73,I44:I61)</f>
        <v>25000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3</v>
      </c>
      <c r="F77" s="63">
        <f>SUMIF(E44:E61,A77,G44:G61)</f>
        <v>579661</v>
      </c>
      <c r="G77" s="63"/>
      <c r="H77" s="63">
        <f>SUMIF(E44:E61,A77,I44:I61)</f>
        <v>743999.98</v>
      </c>
      <c r="I77" s="63"/>
      <c r="J77" s="32">
        <f>IFERROR(F77/G62,0)</f>
        <v>0.77696506169761603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7</v>
      </c>
      <c r="F78" s="65">
        <f>SUMIF(E44:E61,A78,G44:G61)</f>
        <v>166397</v>
      </c>
      <c r="G78" s="65"/>
      <c r="H78" s="65">
        <f>SUMIF(E44:E61,A78,I44:I61)</f>
        <v>284761.46000000002</v>
      </c>
      <c r="I78" s="65"/>
      <c r="J78" s="43">
        <f>IFERROR(F78/G62,0)</f>
        <v>0.22303493830238399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746058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1182265.44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134290.44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-134290.44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-746058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-1182265.44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DEFICIT  -  Action requise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3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300-000001000000}">
      <formula1>"EMISE,PAYEE,EN ATTENTE,ANNULEE,LITIGIEUSE"</formula1>
      <formula2>0</formula2>
    </dataValidation>
    <dataValidation type="list" allowBlank="1" sqref="E44:E61" xr:uid="{00000000-0002-0000-03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9"/>
  <sheetViews>
    <sheetView zoomScaleNormal="100" workbookViewId="0">
      <pane ySplit="9" topLeftCell="A40" activePane="bottomLeft" state="frozen"/>
      <selection pane="bottomLeft" activeCell="B51" sqref="B51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>
        <v>46127</v>
      </c>
      <c r="C44" s="18" t="s">
        <v>133</v>
      </c>
      <c r="D44" s="18" t="s">
        <v>134</v>
      </c>
      <c r="E44" s="18" t="s">
        <v>93</v>
      </c>
      <c r="F44" s="18"/>
      <c r="G44" s="19"/>
      <c r="H44" s="20" t="str">
        <f t="shared" ref="H44:H61" si="2">IF(G44="","-",G44*$E$6)</f>
        <v>-</v>
      </c>
      <c r="I44" s="20">
        <v>14865</v>
      </c>
      <c r="J44" s="18" t="s">
        <v>135</v>
      </c>
    </row>
    <row r="45" spans="1:10" ht="18" customHeight="1" x14ac:dyDescent="0.25">
      <c r="A45" s="34">
        <v>2</v>
      </c>
      <c r="B45" s="35">
        <v>46127</v>
      </c>
      <c r="C45" s="36" t="s">
        <v>136</v>
      </c>
      <c r="D45" s="36" t="s">
        <v>134</v>
      </c>
      <c r="E45" s="36" t="s">
        <v>93</v>
      </c>
      <c r="F45" s="36"/>
      <c r="G45" s="37"/>
      <c r="H45" s="38" t="str">
        <f t="shared" si="2"/>
        <v>-</v>
      </c>
      <c r="I45" s="38">
        <v>107447</v>
      </c>
      <c r="J45" s="36" t="s">
        <v>135</v>
      </c>
    </row>
    <row r="46" spans="1:10" ht="18" customHeight="1" x14ac:dyDescent="0.25">
      <c r="A46" s="2">
        <v>3</v>
      </c>
      <c r="B46" s="17">
        <v>46114</v>
      </c>
      <c r="C46" s="18" t="s">
        <v>222</v>
      </c>
      <c r="D46" s="18" t="s">
        <v>223</v>
      </c>
      <c r="E46" s="18" t="s">
        <v>97</v>
      </c>
      <c r="F46" s="18"/>
      <c r="G46" s="19"/>
      <c r="H46" s="20" t="str">
        <f t="shared" si="2"/>
        <v>-</v>
      </c>
      <c r="I46" s="20">
        <v>40000</v>
      </c>
      <c r="J46" s="18" t="s">
        <v>135</v>
      </c>
    </row>
    <row r="47" spans="1:10" ht="18" customHeight="1" x14ac:dyDescent="0.25">
      <c r="A47" s="34">
        <v>4</v>
      </c>
      <c r="B47" s="35">
        <v>46126</v>
      </c>
      <c r="C47" s="36" t="s">
        <v>224</v>
      </c>
      <c r="D47" s="36" t="s">
        <v>225</v>
      </c>
      <c r="E47" s="36" t="s">
        <v>94</v>
      </c>
      <c r="F47" s="36"/>
      <c r="G47" s="37"/>
      <c r="H47" s="38" t="str">
        <f t="shared" si="2"/>
        <v>-</v>
      </c>
      <c r="I47" s="38">
        <v>500000</v>
      </c>
      <c r="J47" s="36" t="s">
        <v>135</v>
      </c>
    </row>
    <row r="48" spans="1:10" ht="18" customHeight="1" x14ac:dyDescent="0.25">
      <c r="A48" s="2">
        <v>5</v>
      </c>
      <c r="B48" s="17">
        <v>46122</v>
      </c>
      <c r="C48" s="18" t="s">
        <v>226</v>
      </c>
      <c r="D48" s="18" t="s">
        <v>227</v>
      </c>
      <c r="E48" s="18" t="s">
        <v>94</v>
      </c>
      <c r="F48" s="18"/>
      <c r="G48" s="19"/>
      <c r="H48" s="20" t="str">
        <f t="shared" si="2"/>
        <v>-</v>
      </c>
      <c r="I48" s="20">
        <v>525000</v>
      </c>
      <c r="J48" s="18" t="s">
        <v>187</v>
      </c>
    </row>
    <row r="49" spans="1:10" ht="18" customHeight="1" x14ac:dyDescent="0.25">
      <c r="A49" s="34">
        <v>6</v>
      </c>
      <c r="B49" s="35">
        <v>46127</v>
      </c>
      <c r="C49" s="36" t="s">
        <v>228</v>
      </c>
      <c r="D49" s="36" t="s">
        <v>144</v>
      </c>
      <c r="E49" s="36" t="s">
        <v>94</v>
      </c>
      <c r="F49" s="36"/>
      <c r="G49" s="37">
        <v>113092</v>
      </c>
      <c r="H49" s="38">
        <f t="shared" si="2"/>
        <v>20356.559999999998</v>
      </c>
      <c r="I49" s="38">
        <f t="shared" ref="I44:I61" si="3">IF(G49="","-",G49+H49)</f>
        <v>133448.56</v>
      </c>
      <c r="J49" s="36" t="s">
        <v>135</v>
      </c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113092</v>
      </c>
      <c r="H62" s="39">
        <f>SUM(H44:H61)</f>
        <v>20356.559999999998</v>
      </c>
      <c r="I62" s="39">
        <f>SUM(I44:I61)</f>
        <v>1320760.56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2</v>
      </c>
      <c r="F67" s="63">
        <f>SUMIF(E44:E61,A67,G44:G61)</f>
        <v>0</v>
      </c>
      <c r="G67" s="63"/>
      <c r="H67" s="63">
        <f>SUMIF(E44:E61,A67,I44:I61)</f>
        <v>122312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3</v>
      </c>
      <c r="F68" s="65">
        <f>SUMIF(E44:E61,A68,G44:G61)</f>
        <v>113092</v>
      </c>
      <c r="G68" s="65"/>
      <c r="H68" s="65">
        <f>SUMIF(E44:E61,A68,I44:I61)</f>
        <v>1158448.56</v>
      </c>
      <c r="I68" s="65"/>
      <c r="J68" s="43">
        <f>IFERROR(F68/G62,0)</f>
        <v>1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1</v>
      </c>
      <c r="F71" s="63">
        <f>SUMIF(E44:E61,A71,G44:G61)</f>
        <v>0</v>
      </c>
      <c r="G71" s="63"/>
      <c r="H71" s="63">
        <f>SUMIF(E44:E61,A71,I44:I61)</f>
        <v>40000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113092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1320760.56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20356.559999999998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-20356.559999999998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-113092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-1320760.56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DEFICIT  -  Action requise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4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400-000001000000}">
      <formula1>"EMISE,PAYEE,EN ATTENTE,ANNULEE,LITIGIEUSE"</formula1>
      <formula2>0</formula2>
    </dataValidation>
    <dataValidation type="list" allowBlank="1" sqref="E44:E61" xr:uid="{00000000-0002-0000-04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9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5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500-000001000000}">
      <formula1>"EMISE,PAYEE,EN ATTENTE,ANNULEE,LITIGIEUSE"</formula1>
      <formula2>0</formula2>
    </dataValidation>
    <dataValidation type="list" allowBlank="1" sqref="E44:E61" xr:uid="{00000000-0002-0000-05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6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600-000001000000}">
      <formula1>"EMISE,PAYEE,EN ATTENTE,ANNULEE,LITIGIEUSE"</formula1>
      <formula2>0</formula2>
    </dataValidation>
    <dataValidation type="list" allowBlank="1" sqref="E44:E61" xr:uid="{00000000-0002-0000-06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7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700-000001000000}">
      <formula1>"EMISE,PAYEE,EN ATTENTE,ANNULEE,LITIGIEUSE"</formula1>
      <formula2>0</formula2>
    </dataValidation>
    <dataValidation type="list" allowBlank="1" sqref="E44:E61" xr:uid="{00000000-0002-0000-07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9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8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800-000001000000}">
      <formula1>"EMISE,PAYEE,EN ATTENTE,ANNULEE,LITIGIEUSE"</formula1>
      <formula2>0</formula2>
    </dataValidation>
    <dataValidation type="list" allowBlank="1" sqref="E44:E61" xr:uid="{00000000-0002-0000-08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9"/>
  <sheetViews>
    <sheetView zoomScaleNormal="100" workbookViewId="0">
      <pane ySplit="9" topLeftCell="A10" activePane="bottomLeft" state="frozen"/>
      <selection pane="bottomLeft" sqref="A1:J1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129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9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900-000001000000}">
      <formula1>"EMISE,PAYEE,EN ATTENTE,ANNULEE,LITIGIEUSE"</formula1>
      <formula2>0</formula2>
    </dataValidation>
    <dataValidation type="list" allowBlank="1" sqref="E44:E61" xr:uid="{00000000-0002-0000-09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9"/>
  <sheetViews>
    <sheetView zoomScaleNormal="100" workbookViewId="0">
      <pane ySplit="9" topLeftCell="A10" activePane="bottomLeft" state="frozen"/>
      <selection pane="bottomLeft" activeCell="H10" sqref="H10:H11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130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A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A00-000001000000}">
      <formula1>"EMISE,PAYEE,EN ATTENTE,ANNULEE,LITIGIEUSE"</formula1>
      <formula2>0</formula2>
    </dataValidation>
    <dataValidation type="list" allowBlank="1" sqref="E44:E61" xr:uid="{00000000-0002-0000-0A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9"/>
  <sheetViews>
    <sheetView zoomScaleNormal="100" workbookViewId="0">
      <pane ySplit="9" topLeftCell="A10" activePane="bottomLeft" state="frozen"/>
      <selection pane="bottomLeft" sqref="A1:J1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131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B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B00-000001000000}">
      <formula1>"EMISE,PAYEE,EN ATTENTE,ANNULEE,LITIGIEUSE"</formula1>
      <formula2>0</formula2>
    </dataValidation>
    <dataValidation type="list" allowBlank="1" sqref="E44:E61" xr:uid="{00000000-0002-0000-0B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9"/>
  <sheetViews>
    <sheetView zoomScaleNormal="100" workbookViewId="0">
      <pane ySplit="9" topLeftCell="A10" activePane="bottomLeft" state="frozen"/>
      <selection pane="bottomLeft" sqref="A1:J1"/>
    </sheetView>
  </sheetViews>
  <sheetFormatPr baseColWidth="10" defaultColWidth="8.7109375" defaultRowHeight="15" x14ac:dyDescent="0.25"/>
  <cols>
    <col min="1" max="1" width="4" customWidth="1"/>
    <col min="2" max="2" width="13" customWidth="1"/>
    <col min="3" max="3" width="18" customWidth="1"/>
    <col min="4" max="4" width="26" customWidth="1"/>
    <col min="5" max="5" width="22" customWidth="1"/>
    <col min="6" max="6" width="12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 ht="25.5" customHeight="1" x14ac:dyDescent="0.25">
      <c r="A1" s="74" t="s">
        <v>132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3.5" customHeight="1" x14ac:dyDescent="0.25">
      <c r="A2" s="75" t="s">
        <v>58</v>
      </c>
      <c r="B2" s="75"/>
      <c r="C2" s="75"/>
      <c r="D2" s="75"/>
      <c r="E2" s="75"/>
      <c r="F2" s="75"/>
      <c r="G2" s="75"/>
      <c r="H2" s="75"/>
      <c r="I2" s="75"/>
      <c r="J2" s="75"/>
    </row>
    <row r="4" spans="1:10" ht="13.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</row>
    <row r="6" spans="1:10" ht="18" customHeight="1" x14ac:dyDescent="0.25">
      <c r="A6" s="53" t="s">
        <v>60</v>
      </c>
      <c r="B6" s="53"/>
      <c r="C6" s="53"/>
      <c r="D6" s="53"/>
      <c r="E6" s="15">
        <v>0.18</v>
      </c>
      <c r="F6" s="77" t="s">
        <v>61</v>
      </c>
      <c r="G6" s="77"/>
      <c r="H6" s="77"/>
      <c r="I6" s="77"/>
      <c r="J6" s="77"/>
    </row>
    <row r="8" spans="1:10" ht="21.75" customHeight="1" x14ac:dyDescent="0.25">
      <c r="A8" s="78" t="s">
        <v>62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27.75" customHeight="1" x14ac:dyDescent="0.25">
      <c r="A9" s="16" t="s">
        <v>63</v>
      </c>
      <c r="B9" s="16" t="s">
        <v>64</v>
      </c>
      <c r="C9" s="16" t="s">
        <v>65</v>
      </c>
      <c r="D9" s="16" t="s">
        <v>66</v>
      </c>
      <c r="E9" s="16" t="s">
        <v>67</v>
      </c>
      <c r="F9" s="16" t="s">
        <v>68</v>
      </c>
      <c r="G9" s="16" t="s">
        <v>69</v>
      </c>
      <c r="H9" s="16" t="s">
        <v>70</v>
      </c>
      <c r="I9" s="16" t="s">
        <v>71</v>
      </c>
      <c r="J9" s="16" t="s">
        <v>72</v>
      </c>
    </row>
    <row r="10" spans="1:10" ht="18" customHeight="1" x14ac:dyDescent="0.25">
      <c r="A10" s="2">
        <v>1</v>
      </c>
      <c r="B10" s="17"/>
      <c r="C10" s="18"/>
      <c r="D10" s="18"/>
      <c r="E10" s="18"/>
      <c r="F10" s="18"/>
      <c r="G10" s="19"/>
      <c r="H10" s="20" t="str">
        <f t="shared" ref="H10:H27" si="0">IF(G10="","-",G10*$E$6)</f>
        <v>-</v>
      </c>
      <c r="I10" s="20" t="str">
        <f t="shared" ref="I10:I27" si="1">IF(G10="","-",G10+H10)</f>
        <v>-</v>
      </c>
      <c r="J10" s="18"/>
    </row>
    <row r="11" spans="1:10" ht="18" customHeight="1" x14ac:dyDescent="0.25">
      <c r="A11" s="21">
        <v>2</v>
      </c>
      <c r="B11" s="22"/>
      <c r="C11" s="23"/>
      <c r="D11" s="23"/>
      <c r="E11" s="23"/>
      <c r="F11" s="23"/>
      <c r="G11" s="24"/>
      <c r="H11" s="25" t="str">
        <f t="shared" si="0"/>
        <v>-</v>
      </c>
      <c r="I11" s="25" t="str">
        <f t="shared" si="1"/>
        <v>-</v>
      </c>
      <c r="J11" s="23"/>
    </row>
    <row r="12" spans="1:10" ht="18" customHeight="1" x14ac:dyDescent="0.25">
      <c r="A12" s="2">
        <v>3</v>
      </c>
      <c r="B12" s="17"/>
      <c r="C12" s="18"/>
      <c r="D12" s="18"/>
      <c r="E12" s="18"/>
      <c r="F12" s="18"/>
      <c r="G12" s="19"/>
      <c r="H12" s="20" t="str">
        <f t="shared" si="0"/>
        <v>-</v>
      </c>
      <c r="I12" s="20" t="str">
        <f t="shared" si="1"/>
        <v>-</v>
      </c>
      <c r="J12" s="18"/>
    </row>
    <row r="13" spans="1:10" ht="18" customHeight="1" x14ac:dyDescent="0.25">
      <c r="A13" s="21">
        <v>4</v>
      </c>
      <c r="B13" s="22"/>
      <c r="C13" s="23"/>
      <c r="D13" s="23"/>
      <c r="E13" s="23"/>
      <c r="F13" s="23"/>
      <c r="G13" s="24"/>
      <c r="H13" s="25" t="str">
        <f t="shared" si="0"/>
        <v>-</v>
      </c>
      <c r="I13" s="25" t="str">
        <f t="shared" si="1"/>
        <v>-</v>
      </c>
      <c r="J13" s="23"/>
    </row>
    <row r="14" spans="1:10" ht="18" customHeight="1" x14ac:dyDescent="0.25">
      <c r="A14" s="2">
        <v>5</v>
      </c>
      <c r="B14" s="17"/>
      <c r="C14" s="18"/>
      <c r="D14" s="18"/>
      <c r="E14" s="18"/>
      <c r="F14" s="18"/>
      <c r="G14" s="19"/>
      <c r="H14" s="20" t="str">
        <f t="shared" si="0"/>
        <v>-</v>
      </c>
      <c r="I14" s="20" t="str">
        <f t="shared" si="1"/>
        <v>-</v>
      </c>
      <c r="J14" s="18"/>
    </row>
    <row r="15" spans="1:10" ht="18" customHeight="1" x14ac:dyDescent="0.25">
      <c r="A15" s="21">
        <v>6</v>
      </c>
      <c r="B15" s="22"/>
      <c r="C15" s="23"/>
      <c r="D15" s="23"/>
      <c r="E15" s="23"/>
      <c r="F15" s="23"/>
      <c r="G15" s="24"/>
      <c r="H15" s="25" t="str">
        <f t="shared" si="0"/>
        <v>-</v>
      </c>
      <c r="I15" s="25" t="str">
        <f t="shared" si="1"/>
        <v>-</v>
      </c>
      <c r="J15" s="23"/>
    </row>
    <row r="16" spans="1:10" ht="18" customHeight="1" x14ac:dyDescent="0.25">
      <c r="A16" s="2">
        <v>7</v>
      </c>
      <c r="B16" s="17"/>
      <c r="C16" s="18"/>
      <c r="D16" s="18"/>
      <c r="E16" s="18"/>
      <c r="F16" s="18"/>
      <c r="G16" s="19"/>
      <c r="H16" s="20" t="str">
        <f t="shared" si="0"/>
        <v>-</v>
      </c>
      <c r="I16" s="20" t="str">
        <f t="shared" si="1"/>
        <v>-</v>
      </c>
      <c r="J16" s="18"/>
    </row>
    <row r="17" spans="1:10" ht="18" customHeight="1" x14ac:dyDescent="0.25">
      <c r="A17" s="21">
        <v>8</v>
      </c>
      <c r="B17" s="22"/>
      <c r="C17" s="23"/>
      <c r="D17" s="23"/>
      <c r="E17" s="23"/>
      <c r="F17" s="23"/>
      <c r="G17" s="24"/>
      <c r="H17" s="25" t="str">
        <f t="shared" si="0"/>
        <v>-</v>
      </c>
      <c r="I17" s="25" t="str">
        <f t="shared" si="1"/>
        <v>-</v>
      </c>
      <c r="J17" s="23"/>
    </row>
    <row r="18" spans="1:10" ht="18" customHeight="1" x14ac:dyDescent="0.25">
      <c r="A18" s="2">
        <v>9</v>
      </c>
      <c r="B18" s="17"/>
      <c r="C18" s="18"/>
      <c r="D18" s="18"/>
      <c r="E18" s="18"/>
      <c r="F18" s="18"/>
      <c r="G18" s="19"/>
      <c r="H18" s="20" t="str">
        <f t="shared" si="0"/>
        <v>-</v>
      </c>
      <c r="I18" s="20" t="str">
        <f t="shared" si="1"/>
        <v>-</v>
      </c>
      <c r="J18" s="18"/>
    </row>
    <row r="19" spans="1:10" ht="18" customHeight="1" x14ac:dyDescent="0.25">
      <c r="A19" s="21">
        <v>10</v>
      </c>
      <c r="B19" s="22"/>
      <c r="C19" s="23"/>
      <c r="D19" s="23"/>
      <c r="E19" s="23"/>
      <c r="F19" s="23"/>
      <c r="G19" s="24"/>
      <c r="H19" s="25" t="str">
        <f t="shared" si="0"/>
        <v>-</v>
      </c>
      <c r="I19" s="25" t="str">
        <f t="shared" si="1"/>
        <v>-</v>
      </c>
      <c r="J19" s="23"/>
    </row>
    <row r="20" spans="1:10" ht="18" customHeight="1" x14ac:dyDescent="0.25">
      <c r="A20" s="2">
        <v>11</v>
      </c>
      <c r="B20" s="17"/>
      <c r="C20" s="18"/>
      <c r="D20" s="18"/>
      <c r="E20" s="18"/>
      <c r="F20" s="18"/>
      <c r="G20" s="19"/>
      <c r="H20" s="20" t="str">
        <f t="shared" si="0"/>
        <v>-</v>
      </c>
      <c r="I20" s="20" t="str">
        <f t="shared" si="1"/>
        <v>-</v>
      </c>
      <c r="J20" s="18"/>
    </row>
    <row r="21" spans="1:10" ht="18" customHeight="1" x14ac:dyDescent="0.25">
      <c r="A21" s="21">
        <v>12</v>
      </c>
      <c r="B21" s="22"/>
      <c r="C21" s="23"/>
      <c r="D21" s="23"/>
      <c r="E21" s="23"/>
      <c r="F21" s="23"/>
      <c r="G21" s="24"/>
      <c r="H21" s="25" t="str">
        <f t="shared" si="0"/>
        <v>-</v>
      </c>
      <c r="I21" s="25" t="str">
        <f t="shared" si="1"/>
        <v>-</v>
      </c>
      <c r="J21" s="23"/>
    </row>
    <row r="22" spans="1:10" ht="18" customHeight="1" x14ac:dyDescent="0.25">
      <c r="A22" s="2">
        <v>13</v>
      </c>
      <c r="B22" s="17"/>
      <c r="C22" s="18"/>
      <c r="D22" s="18"/>
      <c r="E22" s="18"/>
      <c r="F22" s="18"/>
      <c r="G22" s="19"/>
      <c r="H22" s="20" t="str">
        <f t="shared" si="0"/>
        <v>-</v>
      </c>
      <c r="I22" s="20" t="str">
        <f t="shared" si="1"/>
        <v>-</v>
      </c>
      <c r="J22" s="18"/>
    </row>
    <row r="23" spans="1:10" ht="18" customHeight="1" x14ac:dyDescent="0.25">
      <c r="A23" s="21">
        <v>14</v>
      </c>
      <c r="B23" s="22"/>
      <c r="C23" s="23"/>
      <c r="D23" s="23"/>
      <c r="E23" s="23"/>
      <c r="F23" s="23"/>
      <c r="G23" s="24"/>
      <c r="H23" s="25" t="str">
        <f t="shared" si="0"/>
        <v>-</v>
      </c>
      <c r="I23" s="25" t="str">
        <f t="shared" si="1"/>
        <v>-</v>
      </c>
      <c r="J23" s="23"/>
    </row>
    <row r="24" spans="1:10" ht="18" customHeight="1" x14ac:dyDescent="0.25">
      <c r="A24" s="2">
        <v>15</v>
      </c>
      <c r="B24" s="17"/>
      <c r="C24" s="18"/>
      <c r="D24" s="18"/>
      <c r="E24" s="18"/>
      <c r="F24" s="18"/>
      <c r="G24" s="19"/>
      <c r="H24" s="20" t="str">
        <f t="shared" si="0"/>
        <v>-</v>
      </c>
      <c r="I24" s="20" t="str">
        <f t="shared" si="1"/>
        <v>-</v>
      </c>
      <c r="J24" s="18"/>
    </row>
    <row r="25" spans="1:10" ht="18" customHeight="1" x14ac:dyDescent="0.25">
      <c r="A25" s="21">
        <v>16</v>
      </c>
      <c r="B25" s="22"/>
      <c r="C25" s="23"/>
      <c r="D25" s="23"/>
      <c r="E25" s="23"/>
      <c r="F25" s="23"/>
      <c r="G25" s="24"/>
      <c r="H25" s="25" t="str">
        <f t="shared" si="0"/>
        <v>-</v>
      </c>
      <c r="I25" s="25" t="str">
        <f t="shared" si="1"/>
        <v>-</v>
      </c>
      <c r="J25" s="23"/>
    </row>
    <row r="26" spans="1:10" ht="18" customHeight="1" x14ac:dyDescent="0.25">
      <c r="A26" s="2">
        <v>17</v>
      </c>
      <c r="B26" s="17"/>
      <c r="C26" s="18"/>
      <c r="D26" s="18"/>
      <c r="E26" s="18"/>
      <c r="F26" s="18"/>
      <c r="G26" s="19"/>
      <c r="H26" s="20" t="str">
        <f t="shared" si="0"/>
        <v>-</v>
      </c>
      <c r="I26" s="20" t="str">
        <f t="shared" si="1"/>
        <v>-</v>
      </c>
      <c r="J26" s="18"/>
    </row>
    <row r="27" spans="1:10" ht="18" customHeight="1" x14ac:dyDescent="0.25">
      <c r="A27" s="21">
        <v>18</v>
      </c>
      <c r="B27" s="22"/>
      <c r="C27" s="23"/>
      <c r="D27" s="23"/>
      <c r="E27" s="23"/>
      <c r="F27" s="23"/>
      <c r="G27" s="24"/>
      <c r="H27" s="25" t="str">
        <f t="shared" si="0"/>
        <v>-</v>
      </c>
      <c r="I27" s="25" t="str">
        <f t="shared" si="1"/>
        <v>-</v>
      </c>
      <c r="J27" s="23"/>
    </row>
    <row r="28" spans="1:10" ht="19.5" customHeight="1" x14ac:dyDescent="0.25">
      <c r="A28" s="79" t="s">
        <v>73</v>
      </c>
      <c r="B28" s="79"/>
      <c r="C28" s="79"/>
      <c r="D28" s="79"/>
      <c r="E28" s="79"/>
      <c r="F28" s="79"/>
      <c r="G28" s="26">
        <f>SUM(G10:G27)</f>
        <v>0</v>
      </c>
      <c r="H28" s="26">
        <f>SUM(H10:H27)</f>
        <v>0</v>
      </c>
      <c r="I28" s="26">
        <f>SUM(I10:I27)</f>
        <v>0</v>
      </c>
      <c r="J28" s="27"/>
    </row>
    <row r="30" spans="1:10" ht="18" customHeight="1" x14ac:dyDescent="0.25">
      <c r="A30" s="80" t="s">
        <v>74</v>
      </c>
      <c r="B30" s="80"/>
      <c r="C30" s="80"/>
      <c r="D30" s="80"/>
      <c r="E30" s="80"/>
      <c r="F30" s="80"/>
      <c r="G30" s="80"/>
      <c r="H30" s="80"/>
      <c r="I30" s="80"/>
      <c r="J30" s="80"/>
    </row>
    <row r="31" spans="1:10" ht="19.5" customHeight="1" x14ac:dyDescent="0.25">
      <c r="A31" s="44" t="s">
        <v>67</v>
      </c>
      <c r="B31" s="44"/>
      <c r="C31" s="44"/>
      <c r="D31" s="44"/>
      <c r="E31" s="28" t="s">
        <v>75</v>
      </c>
      <c r="F31" s="81" t="s">
        <v>76</v>
      </c>
      <c r="G31" s="81"/>
      <c r="H31" s="81" t="s">
        <v>77</v>
      </c>
      <c r="I31" s="81"/>
      <c r="J31" s="28" t="s">
        <v>78</v>
      </c>
    </row>
    <row r="32" spans="1:10" ht="18" customHeight="1" x14ac:dyDescent="0.25">
      <c r="A32" s="69" t="s">
        <v>79</v>
      </c>
      <c r="B32" s="69"/>
      <c r="C32" s="69"/>
      <c r="D32" s="69"/>
      <c r="E32" s="29">
        <f>COUNTIF(E10:E27,A32)</f>
        <v>0</v>
      </c>
      <c r="F32" s="70">
        <f>SUMIF(E10:E27,A32,G10:G27)</f>
        <v>0</v>
      </c>
      <c r="G32" s="70"/>
      <c r="H32" s="70">
        <f>SUMIF(E10:E27,A32,I10:I27)</f>
        <v>0</v>
      </c>
      <c r="I32" s="70"/>
      <c r="J32" s="30">
        <f>IFERROR(F32/G28,0)</f>
        <v>0</v>
      </c>
    </row>
    <row r="33" spans="1:10" ht="18" customHeight="1" x14ac:dyDescent="0.25">
      <c r="A33" s="62" t="s">
        <v>80</v>
      </c>
      <c r="B33" s="62"/>
      <c r="C33" s="62"/>
      <c r="D33" s="62"/>
      <c r="E33" s="31">
        <f>COUNTIF(E10:E27,A33)</f>
        <v>0</v>
      </c>
      <c r="F33" s="63">
        <f>SUMIF(E10:E27,A33,G10:G27)</f>
        <v>0</v>
      </c>
      <c r="G33" s="63"/>
      <c r="H33" s="63">
        <f>SUMIF(E10:E27,A33,I10:I27)</f>
        <v>0</v>
      </c>
      <c r="I33" s="63"/>
      <c r="J33" s="32">
        <f>IFERROR(F33/G28,0)</f>
        <v>0</v>
      </c>
    </row>
    <row r="34" spans="1:10" ht="18" customHeight="1" x14ac:dyDescent="0.25">
      <c r="A34" s="69" t="s">
        <v>81</v>
      </c>
      <c r="B34" s="69"/>
      <c r="C34" s="69"/>
      <c r="D34" s="69"/>
      <c r="E34" s="29">
        <f>COUNTIF(E10:E27,A34)</f>
        <v>0</v>
      </c>
      <c r="F34" s="70">
        <f>SUMIF(E10:E27,A34,G10:G27)</f>
        <v>0</v>
      </c>
      <c r="G34" s="70"/>
      <c r="H34" s="70">
        <f>SUMIF(E10:E27,A34,I10:I27)</f>
        <v>0</v>
      </c>
      <c r="I34" s="70"/>
      <c r="J34" s="30">
        <f>IFERROR(F34/G28,0)</f>
        <v>0</v>
      </c>
    </row>
    <row r="35" spans="1:10" ht="18" customHeight="1" x14ac:dyDescent="0.25">
      <c r="A35" s="62" t="s">
        <v>82</v>
      </c>
      <c r="B35" s="62"/>
      <c r="C35" s="62"/>
      <c r="D35" s="62"/>
      <c r="E35" s="31">
        <f>COUNTIF(E10:E27,A35)</f>
        <v>0</v>
      </c>
      <c r="F35" s="63">
        <f>SUMIF(E10:E27,A35,G10:G27)</f>
        <v>0</v>
      </c>
      <c r="G35" s="63"/>
      <c r="H35" s="63">
        <f>SUMIF(E10:E27,A35,I10:I27)</f>
        <v>0</v>
      </c>
      <c r="I35" s="63"/>
      <c r="J35" s="32">
        <f>IFERROR(F35/G28,0)</f>
        <v>0</v>
      </c>
    </row>
    <row r="36" spans="1:10" ht="18" customHeight="1" x14ac:dyDescent="0.25">
      <c r="A36" s="69" t="s">
        <v>83</v>
      </c>
      <c r="B36" s="69"/>
      <c r="C36" s="69"/>
      <c r="D36" s="69"/>
      <c r="E36" s="29">
        <f>COUNTIF(E10:E27,A36)</f>
        <v>0</v>
      </c>
      <c r="F36" s="70">
        <f>SUMIF(E10:E27,A36,G10:G27)</f>
        <v>0</v>
      </c>
      <c r="G36" s="70"/>
      <c r="H36" s="70">
        <f>SUMIF(E10:E27,A36,I10:I27)</f>
        <v>0</v>
      </c>
      <c r="I36" s="70"/>
      <c r="J36" s="30">
        <f>IFERROR(F36/G28,0)</f>
        <v>0</v>
      </c>
    </row>
    <row r="37" spans="1:10" ht="18" customHeight="1" x14ac:dyDescent="0.25">
      <c r="A37" s="62" t="s">
        <v>84</v>
      </c>
      <c r="B37" s="62"/>
      <c r="C37" s="62"/>
      <c r="D37" s="62"/>
      <c r="E37" s="31">
        <f>COUNTIF(E10:E27,A37)</f>
        <v>0</v>
      </c>
      <c r="F37" s="63">
        <f>SUMIF(E10:E27,A37,G10:G27)</f>
        <v>0</v>
      </c>
      <c r="G37" s="63"/>
      <c r="H37" s="63">
        <f>SUMIF(E10:E27,A37,I10:I27)</f>
        <v>0</v>
      </c>
      <c r="I37" s="63"/>
      <c r="J37" s="32">
        <f>IFERROR(F37/G28,0)</f>
        <v>0</v>
      </c>
    </row>
    <row r="38" spans="1:10" ht="18" customHeight="1" x14ac:dyDescent="0.25">
      <c r="A38" s="69" t="s">
        <v>85</v>
      </c>
      <c r="B38" s="69"/>
      <c r="C38" s="69"/>
      <c r="D38" s="69"/>
      <c r="E38" s="29">
        <f>COUNTIF(E10:E27,A38)</f>
        <v>0</v>
      </c>
      <c r="F38" s="70">
        <f>SUMIF(E10:E27,A38,G10:G27)</f>
        <v>0</v>
      </c>
      <c r="G38" s="70"/>
      <c r="H38" s="70">
        <f>SUMIF(E10:E27,A38,I10:I27)</f>
        <v>0</v>
      </c>
      <c r="I38" s="70"/>
      <c r="J38" s="30">
        <f>IFERROR(F38/G28,0)</f>
        <v>0</v>
      </c>
    </row>
    <row r="39" spans="1:10" ht="18" customHeight="1" x14ac:dyDescent="0.25">
      <c r="A39" s="62" t="s">
        <v>86</v>
      </c>
      <c r="B39" s="62"/>
      <c r="C39" s="62"/>
      <c r="D39" s="62"/>
      <c r="E39" s="31">
        <f>COUNTIF(E10:E27,A39)</f>
        <v>0</v>
      </c>
      <c r="F39" s="63">
        <f>SUMIF(E10:E27,A39,G10:G27)</f>
        <v>0</v>
      </c>
      <c r="G39" s="63"/>
      <c r="H39" s="63">
        <f>SUMIF(E10:E27,A39,I10:I27)</f>
        <v>0</v>
      </c>
      <c r="I39" s="63"/>
      <c r="J39" s="32">
        <f>IFERROR(F39/G28,0)</f>
        <v>0</v>
      </c>
    </row>
    <row r="42" spans="1:10" ht="21.75" customHeight="1" x14ac:dyDescent="0.25">
      <c r="A42" s="71" t="s">
        <v>87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27.75" customHeight="1" x14ac:dyDescent="0.25">
      <c r="A43" s="33" t="s">
        <v>63</v>
      </c>
      <c r="B43" s="33" t="s">
        <v>64</v>
      </c>
      <c r="C43" s="33" t="s">
        <v>65</v>
      </c>
      <c r="D43" s="33" t="s">
        <v>88</v>
      </c>
      <c r="E43" s="33" t="s">
        <v>67</v>
      </c>
      <c r="F43" s="33" t="s">
        <v>89</v>
      </c>
      <c r="G43" s="33" t="s">
        <v>69</v>
      </c>
      <c r="H43" s="33" t="s">
        <v>70</v>
      </c>
      <c r="I43" s="33" t="s">
        <v>71</v>
      </c>
      <c r="J43" s="33" t="s">
        <v>72</v>
      </c>
    </row>
    <row r="44" spans="1:10" ht="18" customHeight="1" x14ac:dyDescent="0.25">
      <c r="A44" s="2">
        <v>1</v>
      </c>
      <c r="B44" s="17"/>
      <c r="C44" s="18"/>
      <c r="D44" s="18"/>
      <c r="E44" s="18"/>
      <c r="F44" s="18"/>
      <c r="G44" s="19"/>
      <c r="H44" s="20" t="str">
        <f t="shared" ref="H44:H61" si="2">IF(G44="","-",G44*$E$6)</f>
        <v>-</v>
      </c>
      <c r="I44" s="20" t="str">
        <f t="shared" ref="I44:I61" si="3">IF(G44="","-",G44+H44)</f>
        <v>-</v>
      </c>
      <c r="J44" s="18"/>
    </row>
    <row r="45" spans="1:10" ht="18" customHeight="1" x14ac:dyDescent="0.25">
      <c r="A45" s="34">
        <v>2</v>
      </c>
      <c r="B45" s="35"/>
      <c r="C45" s="36"/>
      <c r="D45" s="36"/>
      <c r="E45" s="36"/>
      <c r="F45" s="36"/>
      <c r="G45" s="37"/>
      <c r="H45" s="38" t="str">
        <f t="shared" si="2"/>
        <v>-</v>
      </c>
      <c r="I45" s="38" t="str">
        <f t="shared" si="3"/>
        <v>-</v>
      </c>
      <c r="J45" s="36"/>
    </row>
    <row r="46" spans="1:10" ht="18" customHeight="1" x14ac:dyDescent="0.25">
      <c r="A46" s="2">
        <v>3</v>
      </c>
      <c r="B46" s="17"/>
      <c r="C46" s="18"/>
      <c r="D46" s="18"/>
      <c r="E46" s="18"/>
      <c r="F46" s="18"/>
      <c r="G46" s="19"/>
      <c r="H46" s="20" t="str">
        <f t="shared" si="2"/>
        <v>-</v>
      </c>
      <c r="I46" s="20" t="str">
        <f t="shared" si="3"/>
        <v>-</v>
      </c>
      <c r="J46" s="18"/>
    </row>
    <row r="47" spans="1:10" ht="18" customHeight="1" x14ac:dyDescent="0.25">
      <c r="A47" s="34">
        <v>4</v>
      </c>
      <c r="B47" s="35"/>
      <c r="C47" s="36"/>
      <c r="D47" s="36"/>
      <c r="E47" s="36"/>
      <c r="F47" s="36"/>
      <c r="G47" s="37"/>
      <c r="H47" s="38" t="str">
        <f t="shared" si="2"/>
        <v>-</v>
      </c>
      <c r="I47" s="38" t="str">
        <f t="shared" si="3"/>
        <v>-</v>
      </c>
      <c r="J47" s="36"/>
    </row>
    <row r="48" spans="1:10" ht="18" customHeight="1" x14ac:dyDescent="0.25">
      <c r="A48" s="2">
        <v>5</v>
      </c>
      <c r="B48" s="17"/>
      <c r="C48" s="18"/>
      <c r="D48" s="18"/>
      <c r="E48" s="18"/>
      <c r="F48" s="18"/>
      <c r="G48" s="19"/>
      <c r="H48" s="20" t="str">
        <f t="shared" si="2"/>
        <v>-</v>
      </c>
      <c r="I48" s="20" t="str">
        <f t="shared" si="3"/>
        <v>-</v>
      </c>
      <c r="J48" s="18"/>
    </row>
    <row r="49" spans="1:10" ht="18" customHeight="1" x14ac:dyDescent="0.25">
      <c r="A49" s="34">
        <v>6</v>
      </c>
      <c r="B49" s="35"/>
      <c r="C49" s="36"/>
      <c r="D49" s="36"/>
      <c r="E49" s="36"/>
      <c r="F49" s="36"/>
      <c r="G49" s="37"/>
      <c r="H49" s="38" t="str">
        <f t="shared" si="2"/>
        <v>-</v>
      </c>
      <c r="I49" s="38" t="str">
        <f t="shared" si="3"/>
        <v>-</v>
      </c>
      <c r="J49" s="36"/>
    </row>
    <row r="50" spans="1:10" ht="18" customHeight="1" x14ac:dyDescent="0.25">
      <c r="A50" s="2">
        <v>7</v>
      </c>
      <c r="B50" s="17"/>
      <c r="C50" s="18"/>
      <c r="D50" s="18"/>
      <c r="E50" s="18"/>
      <c r="F50" s="18"/>
      <c r="G50" s="19"/>
      <c r="H50" s="20" t="str">
        <f t="shared" si="2"/>
        <v>-</v>
      </c>
      <c r="I50" s="20" t="str">
        <f t="shared" si="3"/>
        <v>-</v>
      </c>
      <c r="J50" s="18"/>
    </row>
    <row r="51" spans="1:10" ht="18" customHeight="1" x14ac:dyDescent="0.25">
      <c r="A51" s="34">
        <v>8</v>
      </c>
      <c r="B51" s="35"/>
      <c r="C51" s="36"/>
      <c r="D51" s="36"/>
      <c r="E51" s="36"/>
      <c r="F51" s="36"/>
      <c r="G51" s="37"/>
      <c r="H51" s="38" t="str">
        <f t="shared" si="2"/>
        <v>-</v>
      </c>
      <c r="I51" s="38" t="str">
        <f t="shared" si="3"/>
        <v>-</v>
      </c>
      <c r="J51" s="36"/>
    </row>
    <row r="52" spans="1:10" ht="18" customHeight="1" x14ac:dyDescent="0.25">
      <c r="A52" s="2">
        <v>9</v>
      </c>
      <c r="B52" s="17"/>
      <c r="C52" s="18"/>
      <c r="D52" s="18"/>
      <c r="E52" s="18"/>
      <c r="F52" s="18"/>
      <c r="G52" s="19"/>
      <c r="H52" s="20" t="str">
        <f t="shared" si="2"/>
        <v>-</v>
      </c>
      <c r="I52" s="20" t="str">
        <f t="shared" si="3"/>
        <v>-</v>
      </c>
      <c r="J52" s="18"/>
    </row>
    <row r="53" spans="1:10" ht="18" customHeight="1" x14ac:dyDescent="0.25">
      <c r="A53" s="34">
        <v>10</v>
      </c>
      <c r="B53" s="35"/>
      <c r="C53" s="36"/>
      <c r="D53" s="36"/>
      <c r="E53" s="36"/>
      <c r="F53" s="36"/>
      <c r="G53" s="37"/>
      <c r="H53" s="38" t="str">
        <f t="shared" si="2"/>
        <v>-</v>
      </c>
      <c r="I53" s="38" t="str">
        <f t="shared" si="3"/>
        <v>-</v>
      </c>
      <c r="J53" s="36"/>
    </row>
    <row r="54" spans="1:10" ht="18" customHeight="1" x14ac:dyDescent="0.25">
      <c r="A54" s="2">
        <v>11</v>
      </c>
      <c r="B54" s="17"/>
      <c r="C54" s="18"/>
      <c r="D54" s="18"/>
      <c r="E54" s="18"/>
      <c r="F54" s="18"/>
      <c r="G54" s="19"/>
      <c r="H54" s="20" t="str">
        <f t="shared" si="2"/>
        <v>-</v>
      </c>
      <c r="I54" s="20" t="str">
        <f t="shared" si="3"/>
        <v>-</v>
      </c>
      <c r="J54" s="18"/>
    </row>
    <row r="55" spans="1:10" ht="18" customHeight="1" x14ac:dyDescent="0.25">
      <c r="A55" s="34">
        <v>12</v>
      </c>
      <c r="B55" s="35"/>
      <c r="C55" s="36"/>
      <c r="D55" s="36"/>
      <c r="E55" s="36"/>
      <c r="F55" s="36"/>
      <c r="G55" s="37"/>
      <c r="H55" s="38" t="str">
        <f t="shared" si="2"/>
        <v>-</v>
      </c>
      <c r="I55" s="38" t="str">
        <f t="shared" si="3"/>
        <v>-</v>
      </c>
      <c r="J55" s="36"/>
    </row>
    <row r="56" spans="1:10" ht="18" customHeight="1" x14ac:dyDescent="0.25">
      <c r="A56" s="2">
        <v>13</v>
      </c>
      <c r="B56" s="17"/>
      <c r="C56" s="18"/>
      <c r="D56" s="18"/>
      <c r="E56" s="18"/>
      <c r="F56" s="18"/>
      <c r="G56" s="19"/>
      <c r="H56" s="20" t="str">
        <f t="shared" si="2"/>
        <v>-</v>
      </c>
      <c r="I56" s="20" t="str">
        <f t="shared" si="3"/>
        <v>-</v>
      </c>
      <c r="J56" s="18"/>
    </row>
    <row r="57" spans="1:10" ht="18" customHeight="1" x14ac:dyDescent="0.25">
      <c r="A57" s="34">
        <v>14</v>
      </c>
      <c r="B57" s="35"/>
      <c r="C57" s="36"/>
      <c r="D57" s="36"/>
      <c r="E57" s="36"/>
      <c r="F57" s="36"/>
      <c r="G57" s="37"/>
      <c r="H57" s="38" t="str">
        <f t="shared" si="2"/>
        <v>-</v>
      </c>
      <c r="I57" s="38" t="str">
        <f t="shared" si="3"/>
        <v>-</v>
      </c>
      <c r="J57" s="36"/>
    </row>
    <row r="58" spans="1:10" ht="18" customHeight="1" x14ac:dyDescent="0.25">
      <c r="A58" s="2">
        <v>15</v>
      </c>
      <c r="B58" s="17"/>
      <c r="C58" s="18"/>
      <c r="D58" s="18"/>
      <c r="E58" s="18"/>
      <c r="F58" s="18"/>
      <c r="G58" s="19"/>
      <c r="H58" s="20" t="str">
        <f t="shared" si="2"/>
        <v>-</v>
      </c>
      <c r="I58" s="20" t="str">
        <f t="shared" si="3"/>
        <v>-</v>
      </c>
      <c r="J58" s="18"/>
    </row>
    <row r="59" spans="1:10" ht="18" customHeight="1" x14ac:dyDescent="0.25">
      <c r="A59" s="34">
        <v>16</v>
      </c>
      <c r="B59" s="35"/>
      <c r="C59" s="36"/>
      <c r="D59" s="36"/>
      <c r="E59" s="36"/>
      <c r="F59" s="36"/>
      <c r="G59" s="37"/>
      <c r="H59" s="38" t="str">
        <f t="shared" si="2"/>
        <v>-</v>
      </c>
      <c r="I59" s="38" t="str">
        <f t="shared" si="3"/>
        <v>-</v>
      </c>
      <c r="J59" s="36"/>
    </row>
    <row r="60" spans="1:10" ht="18" customHeight="1" x14ac:dyDescent="0.25">
      <c r="A60" s="2">
        <v>17</v>
      </c>
      <c r="B60" s="17"/>
      <c r="C60" s="18"/>
      <c r="D60" s="18"/>
      <c r="E60" s="18"/>
      <c r="F60" s="18"/>
      <c r="G60" s="19"/>
      <c r="H60" s="20" t="str">
        <f t="shared" si="2"/>
        <v>-</v>
      </c>
      <c r="I60" s="20" t="str">
        <f t="shared" si="3"/>
        <v>-</v>
      </c>
      <c r="J60" s="18"/>
    </row>
    <row r="61" spans="1:10" ht="18" customHeight="1" x14ac:dyDescent="0.25">
      <c r="A61" s="34">
        <v>18</v>
      </c>
      <c r="B61" s="35"/>
      <c r="C61" s="36"/>
      <c r="D61" s="36"/>
      <c r="E61" s="36"/>
      <c r="F61" s="36"/>
      <c r="G61" s="37"/>
      <c r="H61" s="38" t="str">
        <f t="shared" si="2"/>
        <v>-</v>
      </c>
      <c r="I61" s="38" t="str">
        <f t="shared" si="3"/>
        <v>-</v>
      </c>
      <c r="J61" s="36"/>
    </row>
    <row r="62" spans="1:10" ht="19.5" customHeight="1" x14ac:dyDescent="0.25">
      <c r="A62" s="72" t="s">
        <v>90</v>
      </c>
      <c r="B62" s="72"/>
      <c r="C62" s="72"/>
      <c r="D62" s="72"/>
      <c r="E62" s="72"/>
      <c r="F62" s="72"/>
      <c r="G62" s="39">
        <f>SUM(G44:G61)</f>
        <v>0</v>
      </c>
      <c r="H62" s="39">
        <f>SUM(H44:H61)</f>
        <v>0</v>
      </c>
      <c r="I62" s="39">
        <f>SUM(I44:I61)</f>
        <v>0</v>
      </c>
      <c r="J62" s="40"/>
    </row>
    <row r="64" spans="1:10" ht="18" customHeight="1" x14ac:dyDescent="0.25">
      <c r="A64" s="73" t="s">
        <v>91</v>
      </c>
      <c r="B64" s="73"/>
      <c r="C64" s="73"/>
      <c r="D64" s="73"/>
      <c r="E64" s="73"/>
      <c r="F64" s="73"/>
      <c r="G64" s="73"/>
      <c r="H64" s="73"/>
      <c r="I64" s="73"/>
      <c r="J64" s="73"/>
    </row>
    <row r="65" spans="1:10" ht="19.5" customHeight="1" x14ac:dyDescent="0.25">
      <c r="A65" s="67" t="s">
        <v>67</v>
      </c>
      <c r="B65" s="67"/>
      <c r="C65" s="67"/>
      <c r="D65" s="67"/>
      <c r="E65" s="41" t="s">
        <v>75</v>
      </c>
      <c r="F65" s="68" t="s">
        <v>76</v>
      </c>
      <c r="G65" s="68"/>
      <c r="H65" s="68" t="s">
        <v>77</v>
      </c>
      <c r="I65" s="68"/>
      <c r="J65" s="41" t="s">
        <v>78</v>
      </c>
    </row>
    <row r="66" spans="1:10" ht="18" customHeight="1" x14ac:dyDescent="0.25">
      <c r="A66" s="64" t="s">
        <v>92</v>
      </c>
      <c r="B66" s="64"/>
      <c r="C66" s="64"/>
      <c r="D66" s="64"/>
      <c r="E66" s="42">
        <f>COUNTIF(E44:E61,A66)</f>
        <v>0</v>
      </c>
      <c r="F66" s="65">
        <f>SUMIF(E44:E61,A66,G44:G61)</f>
        <v>0</v>
      </c>
      <c r="G66" s="65"/>
      <c r="H66" s="65">
        <f>SUMIF(E44:E61,A66,I44:I61)</f>
        <v>0</v>
      </c>
      <c r="I66" s="65"/>
      <c r="J66" s="43">
        <f>IFERROR(F66/G62,0)</f>
        <v>0</v>
      </c>
    </row>
    <row r="67" spans="1:10" ht="18" customHeight="1" x14ac:dyDescent="0.25">
      <c r="A67" s="62" t="s">
        <v>93</v>
      </c>
      <c r="B67" s="62"/>
      <c r="C67" s="62"/>
      <c r="D67" s="62"/>
      <c r="E67" s="31">
        <f>COUNTIF(E44:E61,A67)</f>
        <v>0</v>
      </c>
      <c r="F67" s="63">
        <f>SUMIF(E44:E61,A67,G44:G61)</f>
        <v>0</v>
      </c>
      <c r="G67" s="63"/>
      <c r="H67" s="63">
        <f>SUMIF(E44:E61,A67,I44:I61)</f>
        <v>0</v>
      </c>
      <c r="I67" s="63"/>
      <c r="J67" s="32">
        <f>IFERROR(F67/G62,0)</f>
        <v>0</v>
      </c>
    </row>
    <row r="68" spans="1:10" ht="18" customHeight="1" x14ac:dyDescent="0.25">
      <c r="A68" s="64" t="s">
        <v>94</v>
      </c>
      <c r="B68" s="64"/>
      <c r="C68" s="64"/>
      <c r="D68" s="64"/>
      <c r="E68" s="42">
        <f>COUNTIF(E44:E61,A68)</f>
        <v>0</v>
      </c>
      <c r="F68" s="65">
        <f>SUMIF(E44:E61,A68,G44:G61)</f>
        <v>0</v>
      </c>
      <c r="G68" s="65"/>
      <c r="H68" s="65">
        <f>SUMIF(E44:E61,A68,I44:I61)</f>
        <v>0</v>
      </c>
      <c r="I68" s="65"/>
      <c r="J68" s="43">
        <f>IFERROR(F68/G62,0)</f>
        <v>0</v>
      </c>
    </row>
    <row r="69" spans="1:10" ht="18" customHeight="1" x14ac:dyDescent="0.25">
      <c r="A69" s="62" t="s">
        <v>95</v>
      </c>
      <c r="B69" s="62"/>
      <c r="C69" s="62"/>
      <c r="D69" s="62"/>
      <c r="E69" s="31">
        <f>COUNTIF(E44:E61,A69)</f>
        <v>0</v>
      </c>
      <c r="F69" s="63">
        <f>SUMIF(E44:E61,A69,G44:G61)</f>
        <v>0</v>
      </c>
      <c r="G69" s="63"/>
      <c r="H69" s="63">
        <f>SUMIF(E44:E61,A69,I44:I61)</f>
        <v>0</v>
      </c>
      <c r="I69" s="63"/>
      <c r="J69" s="32">
        <f>IFERROR(F69/G62,0)</f>
        <v>0</v>
      </c>
    </row>
    <row r="70" spans="1:10" ht="18" customHeight="1" x14ac:dyDescent="0.25">
      <c r="A70" s="64" t="s">
        <v>96</v>
      </c>
      <c r="B70" s="64"/>
      <c r="C70" s="64"/>
      <c r="D70" s="64"/>
      <c r="E70" s="42">
        <f>COUNTIF(E44:E61,A70)</f>
        <v>0</v>
      </c>
      <c r="F70" s="65">
        <f>SUMIF(E44:E61,A70,G44:G61)</f>
        <v>0</v>
      </c>
      <c r="G70" s="65"/>
      <c r="H70" s="65">
        <f>SUMIF(E44:E61,A70,I44:I61)</f>
        <v>0</v>
      </c>
      <c r="I70" s="65"/>
      <c r="J70" s="43">
        <f>IFERROR(F70/G62,0)</f>
        <v>0</v>
      </c>
    </row>
    <row r="71" spans="1:10" ht="18" customHeight="1" x14ac:dyDescent="0.25">
      <c r="A71" s="62" t="s">
        <v>97</v>
      </c>
      <c r="B71" s="62"/>
      <c r="C71" s="62"/>
      <c r="D71" s="62"/>
      <c r="E71" s="31">
        <f>COUNTIF(E44:E61,A71)</f>
        <v>0</v>
      </c>
      <c r="F71" s="63">
        <f>SUMIF(E44:E61,A71,G44:G61)</f>
        <v>0</v>
      </c>
      <c r="G71" s="63"/>
      <c r="H71" s="63">
        <f>SUMIF(E44:E61,A71,I44:I61)</f>
        <v>0</v>
      </c>
      <c r="I71" s="63"/>
      <c r="J71" s="32">
        <f>IFERROR(F71/G62,0)</f>
        <v>0</v>
      </c>
    </row>
    <row r="72" spans="1:10" ht="18" customHeight="1" x14ac:dyDescent="0.25">
      <c r="A72" s="64" t="s">
        <v>98</v>
      </c>
      <c r="B72" s="64"/>
      <c r="C72" s="64"/>
      <c r="D72" s="64"/>
      <c r="E72" s="42">
        <f>COUNTIF(E44:E61,A72)</f>
        <v>0</v>
      </c>
      <c r="F72" s="65">
        <f>SUMIF(E44:E61,A72,G44:G61)</f>
        <v>0</v>
      </c>
      <c r="G72" s="65"/>
      <c r="H72" s="65">
        <f>SUMIF(E44:E61,A72,I44:I61)</f>
        <v>0</v>
      </c>
      <c r="I72" s="65"/>
      <c r="J72" s="43">
        <f>IFERROR(F72/G62,0)</f>
        <v>0</v>
      </c>
    </row>
    <row r="73" spans="1:10" ht="18" customHeight="1" x14ac:dyDescent="0.25">
      <c r="A73" s="62" t="s">
        <v>99</v>
      </c>
      <c r="B73" s="62"/>
      <c r="C73" s="62"/>
      <c r="D73" s="62"/>
      <c r="E73" s="31">
        <f>COUNTIF(E44:E61,A73)</f>
        <v>0</v>
      </c>
      <c r="F73" s="63">
        <f>SUMIF(E44:E61,A73,G44:G61)</f>
        <v>0</v>
      </c>
      <c r="G73" s="63"/>
      <c r="H73" s="63">
        <f>SUMIF(E44:E61,A73,I44:I61)</f>
        <v>0</v>
      </c>
      <c r="I73" s="63"/>
      <c r="J73" s="32">
        <f>IFERROR(F73/G62,0)</f>
        <v>0</v>
      </c>
    </row>
    <row r="74" spans="1:10" ht="18" customHeight="1" x14ac:dyDescent="0.25">
      <c r="A74" s="64" t="s">
        <v>100</v>
      </c>
      <c r="B74" s="64"/>
      <c r="C74" s="64"/>
      <c r="D74" s="64"/>
      <c r="E74" s="42">
        <f>COUNTIF(E44:E61,A74)</f>
        <v>0</v>
      </c>
      <c r="F74" s="65">
        <f>SUMIF(E44:E61,A74,G44:G61)</f>
        <v>0</v>
      </c>
      <c r="G74" s="65"/>
      <c r="H74" s="65">
        <f>SUMIF(E44:E61,A74,I44:I61)</f>
        <v>0</v>
      </c>
      <c r="I74" s="65"/>
      <c r="J74" s="43">
        <f>IFERROR(F74/G62,0)</f>
        <v>0</v>
      </c>
    </row>
    <row r="75" spans="1:10" ht="18" customHeight="1" x14ac:dyDescent="0.25">
      <c r="A75" s="62" t="s">
        <v>101</v>
      </c>
      <c r="B75" s="62"/>
      <c r="C75" s="62"/>
      <c r="D75" s="62"/>
      <c r="E75" s="31">
        <f>COUNTIF(E44:E61,A75)</f>
        <v>0</v>
      </c>
      <c r="F75" s="63">
        <f>SUMIF(E44:E61,A75,G44:G61)</f>
        <v>0</v>
      </c>
      <c r="G75" s="63"/>
      <c r="H75" s="63">
        <f>SUMIF(E44:E61,A75,I44:I61)</f>
        <v>0</v>
      </c>
      <c r="I75" s="63"/>
      <c r="J75" s="32">
        <f>IFERROR(F75/G62,0)</f>
        <v>0</v>
      </c>
    </row>
    <row r="76" spans="1:10" ht="18" customHeight="1" x14ac:dyDescent="0.25">
      <c r="A76" s="64" t="s">
        <v>102</v>
      </c>
      <c r="B76" s="64"/>
      <c r="C76" s="64"/>
      <c r="D76" s="64"/>
      <c r="E76" s="42">
        <f>COUNTIF(E44:E61,A76)</f>
        <v>0</v>
      </c>
      <c r="F76" s="65">
        <f>SUMIF(E44:E61,A76,G44:G61)</f>
        <v>0</v>
      </c>
      <c r="G76" s="65"/>
      <c r="H76" s="65">
        <f>SUMIF(E44:E61,A76,I44:I61)</f>
        <v>0</v>
      </c>
      <c r="I76" s="65"/>
      <c r="J76" s="43">
        <f>IFERROR(F76/G62,0)</f>
        <v>0</v>
      </c>
    </row>
    <row r="77" spans="1:10" ht="18" customHeight="1" x14ac:dyDescent="0.25">
      <c r="A77" s="62" t="s">
        <v>103</v>
      </c>
      <c r="B77" s="62"/>
      <c r="C77" s="62"/>
      <c r="D77" s="62"/>
      <c r="E77" s="31">
        <f>COUNTIF(E44:E61,A77)</f>
        <v>0</v>
      </c>
      <c r="F77" s="63">
        <f>SUMIF(E44:E61,A77,G44:G61)</f>
        <v>0</v>
      </c>
      <c r="G77" s="63"/>
      <c r="H77" s="63">
        <f>SUMIF(E44:E61,A77,I44:I61)</f>
        <v>0</v>
      </c>
      <c r="I77" s="63"/>
      <c r="J77" s="32">
        <f>IFERROR(F77/G62,0)</f>
        <v>0</v>
      </c>
    </row>
    <row r="78" spans="1:10" ht="18" customHeight="1" x14ac:dyDescent="0.25">
      <c r="A78" s="64" t="s">
        <v>104</v>
      </c>
      <c r="B78" s="64"/>
      <c r="C78" s="64"/>
      <c r="D78" s="64"/>
      <c r="E78" s="42">
        <f>COUNTIF(E44:E61,A78)</f>
        <v>0</v>
      </c>
      <c r="F78" s="65">
        <f>SUMIF(E44:E61,A78,G44:G61)</f>
        <v>0</v>
      </c>
      <c r="G78" s="65"/>
      <c r="H78" s="65">
        <f>SUMIF(E44:E61,A78,I44:I61)</f>
        <v>0</v>
      </c>
      <c r="I78" s="65"/>
      <c r="J78" s="43">
        <f>IFERROR(F78/G62,0)</f>
        <v>0</v>
      </c>
    </row>
    <row r="81" spans="1:10" ht="21.75" customHeight="1" x14ac:dyDescent="0.25">
      <c r="A81" s="66" t="s">
        <v>105</v>
      </c>
      <c r="B81" s="66"/>
      <c r="C81" s="66"/>
      <c r="D81" s="66"/>
      <c r="E81" s="66"/>
      <c r="F81" s="66"/>
      <c r="G81" s="66"/>
      <c r="H81" s="66"/>
      <c r="I81" s="66"/>
      <c r="J81" s="66"/>
    </row>
    <row r="82" spans="1:10" ht="21.75" customHeight="1" x14ac:dyDescent="0.25">
      <c r="A82" s="56" t="s">
        <v>106</v>
      </c>
      <c r="B82" s="56"/>
      <c r="C82" s="56"/>
      <c r="D82" s="56"/>
      <c r="E82" s="56"/>
      <c r="F82" s="56"/>
      <c r="G82" s="57">
        <f>G28</f>
        <v>0</v>
      </c>
      <c r="H82" s="57"/>
      <c r="I82" s="57"/>
      <c r="J82" s="57"/>
    </row>
    <row r="83" spans="1:10" ht="21.75" customHeight="1" x14ac:dyDescent="0.25">
      <c r="A83" s="56" t="s">
        <v>107</v>
      </c>
      <c r="B83" s="56"/>
      <c r="C83" s="56"/>
      <c r="D83" s="56"/>
      <c r="E83" s="56"/>
      <c r="F83" s="56"/>
      <c r="G83" s="57">
        <f>I28</f>
        <v>0</v>
      </c>
      <c r="H83" s="57"/>
      <c r="I83" s="57"/>
      <c r="J83" s="57"/>
    </row>
    <row r="84" spans="1:10" ht="21.75" customHeight="1" x14ac:dyDescent="0.25">
      <c r="A84" s="58" t="s">
        <v>108</v>
      </c>
      <c r="B84" s="58"/>
      <c r="C84" s="58"/>
      <c r="D84" s="58"/>
      <c r="E84" s="58"/>
      <c r="F84" s="58"/>
      <c r="G84" s="59">
        <f>G62</f>
        <v>0</v>
      </c>
      <c r="H84" s="59"/>
      <c r="I84" s="59"/>
      <c r="J84" s="59"/>
    </row>
    <row r="85" spans="1:10" ht="21.75" customHeight="1" x14ac:dyDescent="0.25">
      <c r="A85" s="58" t="s">
        <v>109</v>
      </c>
      <c r="B85" s="58"/>
      <c r="C85" s="58"/>
      <c r="D85" s="58"/>
      <c r="E85" s="58"/>
      <c r="F85" s="58"/>
      <c r="G85" s="59">
        <f>I62</f>
        <v>0</v>
      </c>
      <c r="H85" s="59"/>
      <c r="I85" s="59"/>
      <c r="J85" s="59"/>
    </row>
    <row r="86" spans="1:10" ht="21.75" customHeight="1" x14ac:dyDescent="0.25">
      <c r="A86" s="60" t="s">
        <v>110</v>
      </c>
      <c r="B86" s="60"/>
      <c r="C86" s="60"/>
      <c r="D86" s="60"/>
      <c r="E86" s="60"/>
      <c r="F86" s="60"/>
      <c r="G86" s="61">
        <f>G28*$E$6</f>
        <v>0</v>
      </c>
      <c r="H86" s="61"/>
      <c r="I86" s="61"/>
      <c r="J86" s="61"/>
    </row>
    <row r="87" spans="1:10" ht="21.75" customHeight="1" x14ac:dyDescent="0.25">
      <c r="A87" s="60" t="s">
        <v>111</v>
      </c>
      <c r="B87" s="60"/>
      <c r="C87" s="60"/>
      <c r="D87" s="60"/>
      <c r="E87" s="60"/>
      <c r="F87" s="60"/>
      <c r="G87" s="61">
        <f>G62*$E$6</f>
        <v>0</v>
      </c>
      <c r="H87" s="61"/>
      <c r="I87" s="61"/>
      <c r="J87" s="61"/>
    </row>
    <row r="88" spans="1:10" ht="21.75" customHeight="1" x14ac:dyDescent="0.25">
      <c r="A88" s="47" t="s">
        <v>112</v>
      </c>
      <c r="B88" s="47"/>
      <c r="C88" s="47"/>
      <c r="D88" s="47"/>
      <c r="E88" s="47"/>
      <c r="F88" s="47"/>
      <c r="G88" s="48">
        <f>G28*$E$6-G62*$E$6</f>
        <v>0</v>
      </c>
      <c r="H88" s="48"/>
      <c r="I88" s="48"/>
      <c r="J88" s="48"/>
    </row>
    <row r="89" spans="1:10" ht="21.75" customHeight="1" x14ac:dyDescent="0.25">
      <c r="A89" s="49" t="s">
        <v>113</v>
      </c>
      <c r="B89" s="49"/>
      <c r="C89" s="49"/>
      <c r="D89" s="49"/>
      <c r="E89" s="49"/>
      <c r="F89" s="49"/>
      <c r="G89" s="50">
        <f>G28-G62</f>
        <v>0</v>
      </c>
      <c r="H89" s="50"/>
      <c r="I89" s="50"/>
      <c r="J89" s="50"/>
    </row>
    <row r="90" spans="1:10" ht="21.75" customHeight="1" x14ac:dyDescent="0.25">
      <c r="A90" s="51" t="s">
        <v>114</v>
      </c>
      <c r="B90" s="51"/>
      <c r="C90" s="51"/>
      <c r="D90" s="51"/>
      <c r="E90" s="51"/>
      <c r="F90" s="51"/>
      <c r="G90" s="52">
        <f>I28-I62</f>
        <v>0</v>
      </c>
      <c r="H90" s="52"/>
      <c r="I90" s="52"/>
      <c r="J90" s="52"/>
    </row>
    <row r="91" spans="1:10" ht="21.75" customHeight="1" x14ac:dyDescent="0.25">
      <c r="A91" s="53" t="s">
        <v>115</v>
      </c>
      <c r="B91" s="53"/>
      <c r="C91" s="53"/>
      <c r="D91" s="53"/>
      <c r="E91" s="53"/>
      <c r="F91" s="53"/>
      <c r="G91" s="54">
        <f>IFERROR((G28-G62)/G28,0)</f>
        <v>0</v>
      </c>
      <c r="H91" s="54"/>
      <c r="I91" s="54"/>
      <c r="J91" s="54"/>
    </row>
    <row r="92" spans="1:10" ht="21.75" customHeight="1" x14ac:dyDescent="0.25">
      <c r="A92" s="55" t="str">
        <f>IF(G89&gt;0,"EXCEDENT  -  Finances saines",IF(G89=0,"EQUILIBRE","DEFICIT  -  Action requise"))</f>
        <v>EQUILIBRE</v>
      </c>
      <c r="B92" s="55"/>
      <c r="C92" s="55"/>
      <c r="D92" s="55"/>
      <c r="E92" s="55"/>
      <c r="F92" s="55"/>
      <c r="G92" s="55"/>
      <c r="H92" s="55"/>
      <c r="I92" s="55"/>
      <c r="J92" s="55"/>
    </row>
    <row r="94" spans="1:10" ht="18" customHeight="1" x14ac:dyDescent="0.25">
      <c r="A94" s="44" t="s">
        <v>116</v>
      </c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5.75" customHeight="1" x14ac:dyDescent="0.25">
      <c r="A95" s="45" t="s">
        <v>117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 customHeight="1" x14ac:dyDescent="0.25">
      <c r="A96" s="46" t="s">
        <v>118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5.75" customHeight="1" x14ac:dyDescent="0.25">
      <c r="A97" s="45" t="s">
        <v>119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 customHeight="1" x14ac:dyDescent="0.25">
      <c r="A98" s="46" t="s">
        <v>120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5.75" customHeight="1" x14ac:dyDescent="0.25">
      <c r="A99" s="45" t="s">
        <v>121</v>
      </c>
      <c r="B99" s="45"/>
      <c r="C99" s="45"/>
      <c r="D99" s="45"/>
      <c r="E99" s="45"/>
      <c r="F99" s="45"/>
      <c r="G99" s="45"/>
      <c r="H99" s="45"/>
      <c r="I99" s="45"/>
      <c r="J99" s="45"/>
    </row>
  </sheetData>
  <mergeCells count="108">
    <mergeCell ref="A1:J1"/>
    <mergeCell ref="A2:J2"/>
    <mergeCell ref="A4:J4"/>
    <mergeCell ref="A6:D6"/>
    <mergeCell ref="F6:J6"/>
    <mergeCell ref="A8:J8"/>
    <mergeCell ref="A28:F28"/>
    <mergeCell ref="A30:J30"/>
    <mergeCell ref="A31:D31"/>
    <mergeCell ref="F31:G31"/>
    <mergeCell ref="H31:I31"/>
    <mergeCell ref="A32:D32"/>
    <mergeCell ref="F32:G32"/>
    <mergeCell ref="H32:I32"/>
    <mergeCell ref="A33:D33"/>
    <mergeCell ref="F33:G33"/>
    <mergeCell ref="H33:I33"/>
    <mergeCell ref="A34:D34"/>
    <mergeCell ref="F34:G34"/>
    <mergeCell ref="H34:I34"/>
    <mergeCell ref="A35:D35"/>
    <mergeCell ref="F35:G35"/>
    <mergeCell ref="H35:I35"/>
    <mergeCell ref="A36:D36"/>
    <mergeCell ref="F36:G36"/>
    <mergeCell ref="H36:I36"/>
    <mergeCell ref="A37:D37"/>
    <mergeCell ref="F37:G37"/>
    <mergeCell ref="H37:I37"/>
    <mergeCell ref="A38:D38"/>
    <mergeCell ref="F38:G38"/>
    <mergeCell ref="H38:I38"/>
    <mergeCell ref="A39:D39"/>
    <mergeCell ref="F39:G39"/>
    <mergeCell ref="H39:I39"/>
    <mergeCell ref="A42:J42"/>
    <mergeCell ref="A62:F62"/>
    <mergeCell ref="A64:J64"/>
    <mergeCell ref="A65:D65"/>
    <mergeCell ref="F65:G65"/>
    <mergeCell ref="H65:I65"/>
    <mergeCell ref="A66:D66"/>
    <mergeCell ref="F66:G66"/>
    <mergeCell ref="H66:I66"/>
    <mergeCell ref="A67:D67"/>
    <mergeCell ref="F67:G67"/>
    <mergeCell ref="H67:I67"/>
    <mergeCell ref="A68:D68"/>
    <mergeCell ref="F68:G68"/>
    <mergeCell ref="H68:I68"/>
    <mergeCell ref="A69:D69"/>
    <mergeCell ref="F69:G69"/>
    <mergeCell ref="H69:I69"/>
    <mergeCell ref="A70:D70"/>
    <mergeCell ref="F70:G70"/>
    <mergeCell ref="H70:I70"/>
    <mergeCell ref="A71:D71"/>
    <mergeCell ref="F71:G71"/>
    <mergeCell ref="H71:I71"/>
    <mergeCell ref="A72:D72"/>
    <mergeCell ref="F72:G72"/>
    <mergeCell ref="H72:I72"/>
    <mergeCell ref="A73:D73"/>
    <mergeCell ref="F73:G73"/>
    <mergeCell ref="H73:I73"/>
    <mergeCell ref="A74:D74"/>
    <mergeCell ref="F74:G74"/>
    <mergeCell ref="H74:I74"/>
    <mergeCell ref="A75:D75"/>
    <mergeCell ref="F75:G75"/>
    <mergeCell ref="H75:I75"/>
    <mergeCell ref="A76:D76"/>
    <mergeCell ref="F76:G76"/>
    <mergeCell ref="H76:I76"/>
    <mergeCell ref="A77:D77"/>
    <mergeCell ref="F77:G77"/>
    <mergeCell ref="H77:I77"/>
    <mergeCell ref="A78:D78"/>
    <mergeCell ref="F78:G78"/>
    <mergeCell ref="H78:I78"/>
    <mergeCell ref="A81:J81"/>
    <mergeCell ref="A82:F82"/>
    <mergeCell ref="G82:J82"/>
    <mergeCell ref="A83:F83"/>
    <mergeCell ref="G83:J83"/>
    <mergeCell ref="A84:F84"/>
    <mergeCell ref="G84:J84"/>
    <mergeCell ref="A85:F85"/>
    <mergeCell ref="G85:J85"/>
    <mergeCell ref="A86:F86"/>
    <mergeCell ref="G86:J86"/>
    <mergeCell ref="A87:F87"/>
    <mergeCell ref="G87:J87"/>
    <mergeCell ref="A94:J94"/>
    <mergeCell ref="A95:J95"/>
    <mergeCell ref="A96:J96"/>
    <mergeCell ref="A97:J97"/>
    <mergeCell ref="A98:J98"/>
    <mergeCell ref="A99:J99"/>
    <mergeCell ref="A88:F88"/>
    <mergeCell ref="G88:J88"/>
    <mergeCell ref="A89:F89"/>
    <mergeCell ref="G89:J89"/>
    <mergeCell ref="A90:F90"/>
    <mergeCell ref="G90:J90"/>
    <mergeCell ref="A91:F91"/>
    <mergeCell ref="G91:J91"/>
    <mergeCell ref="A92:J92"/>
  </mergeCells>
  <dataValidations count="3">
    <dataValidation type="list" allowBlank="1" sqref="E10:E27" xr:uid="{00000000-0002-0000-0C00-000000000000}">
      <formula1>"Accompagnement diaspora,Ceremonie du Nom,Commission partenaire,Partenariat institutionnel,Formation / Atelier,Location / Prestation,Subvention / Aide,Autre recette"</formula1>
      <formula2>0</formula2>
    </dataValidation>
    <dataValidation type="list" allowBlank="1" sqref="J44:J61 J10:J27" xr:uid="{00000000-0002-0000-0C00-000001000000}">
      <formula1>"EMISE,PAYEE,EN ATTENTE,ANNULEE,LITIGIEUSE"</formula1>
      <formula2>0</formula2>
    </dataValidation>
    <dataValidation type="list" allowBlank="1" sqref="E44:E61" xr:uid="{00000000-0002-0000-0C00-000024000000}">
      <formula1>"Salaires et charges,Loyer et charges,Fournitures bureau,Deplacement et carburant,Telephone et Internet,Communication et Pub,Sous-traitants,Frais bancaires,Impots et taxes,Frais evenement,Formation,Materiel et equipement,Autre depense"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Bilan Annuel 2026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Decembre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2026-03-03T13:28:06Z</dcterms:created>
  <dcterms:modified xsi:type="dcterms:W3CDTF">2026-04-16T10:58:38Z</dcterms:modified>
  <dc:language>en-US</dc:language>
</cp:coreProperties>
</file>